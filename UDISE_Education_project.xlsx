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rabh\Downloads\data analytics files\"/>
    </mc:Choice>
  </mc:AlternateContent>
  <xr:revisionPtr revIDLastSave="0" documentId="13_ncr:1_{8C8DA25D-90B6-46BB-AAC9-A60B47201110}" xr6:coauthVersionLast="47" xr6:coauthVersionMax="47" xr10:uidLastSave="{00000000-0000-0000-0000-000000000000}"/>
  <bookViews>
    <workbookView xWindow="-108" yWindow="-108" windowWidth="23256" windowHeight="12456" firstSheet="4" activeTab="7" xr2:uid="{11E99550-D454-4536-84DF-F18A941B3060}"/>
  </bookViews>
  <sheets>
    <sheet name="Raw_Data" sheetId="1" r:id="rId1"/>
    <sheet name="PT1-Total_Enrolment" sheetId="3" r:id="rId2"/>
    <sheet name="GENDER PARITY" sheetId="13" r:id="rId3"/>
    <sheet name="Sheet2" sheetId="8" state="hidden" r:id="rId4"/>
    <sheet name="pt2gender gap" sheetId="9" r:id="rId5"/>
    <sheet name="pt4 dropout funnel" sheetId="5" r:id="rId6"/>
    <sheet name="DASHBOARD" sheetId="7" r:id="rId7"/>
    <sheet name="Key Findings and Recommendation" sheetId="12" r:id="rId8"/>
  </sheets>
  <definedNames>
    <definedName name="_xlchart.v2.0" hidden="1">'pt4 dropout funnel'!$F$2:$F$5</definedName>
    <definedName name="_xlchart.v2.1" hidden="1">'pt4 dropout funnel'!$G$1</definedName>
    <definedName name="_xlchart.v2.2" hidden="1">'pt4 dropout funnel'!$G$2:$G$5</definedName>
    <definedName name="_xlchart.v2.3" hidden="1">'pt4 dropout funnel'!$F$2:$F$5</definedName>
    <definedName name="_xlchart.v2.4" hidden="1">'pt4 dropout funnel'!$G$1</definedName>
    <definedName name="_xlchart.v2.5" hidden="1">'pt4 dropout funnel'!$G$2:$G$5</definedName>
  </definedNames>
  <calcPr calcId="191029"/>
  <pivotCaches>
    <pivotCache cacheId="0" r:id="rId9"/>
    <pivotCache cacheId="1" r:id="rId10"/>
    <pivotCache cacheId="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" l="1"/>
  <c r="G9" i="3"/>
  <c r="G7" i="3"/>
  <c r="G6" i="3"/>
  <c r="G5" i="3"/>
  <c r="G5" i="5"/>
  <c r="G4" i="5"/>
  <c r="G3" i="5"/>
  <c r="G2" i="5"/>
  <c r="G4" i="3"/>
  <c r="G10" i="3"/>
</calcChain>
</file>

<file path=xl/sharedStrings.xml><?xml version="1.0" encoding="utf-8"?>
<sst xmlns="http://schemas.openxmlformats.org/spreadsheetml/2006/main" count="343" uniqueCount="102">
  <si>
    <t>India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</si>
  <si>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</si>
  <si>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</si>
  <si>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</si>
  <si>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</si>
  <si>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</si>
  <si>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</si>
  <si>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</si>
  <si>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</si>
  <si>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</si>
  <si>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</si>
  <si>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</si>
  <si>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</si>
  <si>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</si>
  <si>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</si>
  <si>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</si>
  <si>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</si>
  <si>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</si>
  <si>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</si>
  <si>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</si>
  <si>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</si>
  <si>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</si>
  <si>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</si>
  <si>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</si>
  <si>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</si>
  <si>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</si>
  <si>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</si>
  <si>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</si>
  <si>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</si>
  <si>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</si>
  <si>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</si>
  <si>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</si>
  <si>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</si>
  <si>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</si>
  <si>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</si>
  <si>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</si>
  <si>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</si>
  <si>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State</t>
  </si>
  <si>
    <t xml:space="preserve"> Pre_Pri_Girls</t>
  </si>
  <si>
    <t xml:space="preserve"> Pre_Pri _Boys</t>
  </si>
  <si>
    <t xml:space="preserve"> Pre_Pri_ Total</t>
  </si>
  <si>
    <t xml:space="preserve"> Pri (1 to 5) - Boys</t>
  </si>
  <si>
    <t>Pri (1 to 5) - Girls</t>
  </si>
  <si>
    <t>Pri (1 to 5) - Total</t>
  </si>
  <si>
    <t>UppPri(6-8) - Boys</t>
  </si>
  <si>
    <t xml:space="preserve"> UppPri (6-8) - Girls</t>
  </si>
  <si>
    <t xml:space="preserve"> UppPri (6-8) - Total</t>
  </si>
  <si>
    <t xml:space="preserve"> Ele (1-8) - Boys</t>
  </si>
  <si>
    <t xml:space="preserve"> Ele (1-8) - Girls</t>
  </si>
  <si>
    <t xml:space="preserve"> Ele (1-8) - Total</t>
  </si>
  <si>
    <t xml:space="preserve"> Sec (9-10) - Boys</t>
  </si>
  <si>
    <t>Sec (9-10) - Girls</t>
  </si>
  <si>
    <t xml:space="preserve"> Sec (9-10) - Total</t>
  </si>
  <si>
    <t xml:space="preserve"> H Sec (11-12) - Boys</t>
  </si>
  <si>
    <t>H Sec (11-12) - Girls</t>
  </si>
  <si>
    <t xml:space="preserve"> H Sec (11-12) - Total</t>
  </si>
  <si>
    <t>Pri to H Sec (1-12) - Boys</t>
  </si>
  <si>
    <t>Pri to H Sec (1-12) - Girls</t>
  </si>
  <si>
    <t>Pri to H Sec (1-12) - Total</t>
  </si>
  <si>
    <t>Total (Pre-Pri to H Sec) - Boys</t>
  </si>
  <si>
    <t>Total (Pre-Pri to H Sec) - Girls</t>
  </si>
  <si>
    <t>Total (Pre-Pri to H Sec) - Total</t>
  </si>
  <si>
    <t>Row Labels</t>
  </si>
  <si>
    <t>Grand Total</t>
  </si>
  <si>
    <t>Sum of Total (Pre-Pri to H Sec) - Total</t>
  </si>
  <si>
    <t>Sum of Pri (1 to 5) - Total</t>
  </si>
  <si>
    <t>Sum of  UppPri (6-8) - Total</t>
  </si>
  <si>
    <t>Sum of  Sec (9-10) - Total</t>
  </si>
  <si>
    <t>Sum of  H Sec (11-12) - Total</t>
  </si>
  <si>
    <t>Level</t>
  </si>
  <si>
    <t>Total</t>
  </si>
  <si>
    <t>Primary</t>
  </si>
  <si>
    <t>Upper Primary</t>
  </si>
  <si>
    <t>Secondary</t>
  </si>
  <si>
    <t>Higher Secondary</t>
  </si>
  <si>
    <t>gender parity</t>
  </si>
  <si>
    <t>Sum of gender parity</t>
  </si>
  <si>
    <t>GPI</t>
  </si>
  <si>
    <t>Sum of GPI</t>
  </si>
  <si>
    <t>TOTAL ENROLLMENT</t>
  </si>
  <si>
    <t>8.82 CRORES</t>
  </si>
  <si>
    <t>GENDER GAP</t>
  </si>
  <si>
    <t>1.01 CRORES</t>
  </si>
  <si>
    <t>DROPOUT RATE</t>
  </si>
  <si>
    <t>WORST GPI STATE</t>
  </si>
  <si>
    <t>RAJASTHAN</t>
  </si>
  <si>
    <t>Key findings and Reccomendations- India Private School Enrollment 2021-2022</t>
  </si>
  <si>
    <t xml:space="preserve">Key findings </t>
  </si>
  <si>
    <t>1. India has 8.83 Crore students enrolled in private schools 2021-22</t>
  </si>
  <si>
    <t>2. Boys — 4.92 Crore and Girls — 3.91 Crore enrolled</t>
  </si>
  <si>
    <t>3. Uttar Pradesh dominates with 2.11 Crore — 24% of India total</t>
  </si>
  <si>
    <t>4. Gender Gap — 1.01 Crore more boys enrolled than girls</t>
  </si>
  <si>
    <t>5. Rajasthan worst GPI — 0.70 — only 70 girls per 100 boys</t>
  </si>
  <si>
    <t>6. Meghalaya best GPI — 1.20 — more girls than boys enrolled</t>
  </si>
  <si>
    <t>7. 72.6% students drop out before reaching Higher Secondary</t>
  </si>
  <si>
    <t>8. Biggest dropout between Upper Primary and Secondary level</t>
  </si>
  <si>
    <t>Recommendations</t>
  </si>
  <si>
    <t>1. Prioritise girl child education schemes in Rajasthan and Bihar</t>
  </si>
  <si>
    <t>2. Dropout prevention programs needed at Upper Primary to Secondary transition</t>
  </si>
  <si>
    <t>3. Study Meghalaya and Kerala as models for gender equality in education</t>
  </si>
  <si>
    <t>4. Special incentives needed for low enrolment states to increase access</t>
  </si>
  <si>
    <t>5. Focus on Higher Secondary retention — biggest dropout happens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</si>
</sst>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b/>
      <sz val="16"/>
      <color rgb="FF002060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2"/>
      <color rgb="FF00206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0" fontId="18" fillId="34" borderId="0" xfId="0" applyFont="1" applyFill="1"/>
    <xf numFmtId="0" fontId="18" fillId="35" borderId="0" xfId="0" applyFont="1" applyFill="1"/>
    <xf numFmtId="0" fontId="18" fillId="36" borderId="0" xfId="0" applyFont="1" applyFill="1"/>
    <xf numFmtId="0" fontId="18" fillId="37" borderId="0" xfId="0" applyFont="1" applyFill="1"/>
    <xf numFmtId="0" fontId="19" fillId="38" borderId="11" xfId="0" applyFont="1" applyFill="1" applyBorder="1"/>
    <xf numFmtId="0" fontId="19" fillId="38" borderId="12" xfId="0" applyFont="1" applyFill="1" applyBorder="1"/>
    <xf numFmtId="0" fontId="19" fillId="38" borderId="13" xfId="0" applyFont="1" applyFill="1" applyBorder="1"/>
    <xf numFmtId="0" fontId="20" fillId="38" borderId="14" xfId="0" applyFont="1" applyFill="1" applyBorder="1"/>
    <xf numFmtId="0" fontId="20" fillId="38" borderId="0" xfId="0" applyFont="1" applyFill="1"/>
    <xf numFmtId="0" fontId="21" fillId="38" borderId="0" xfId="0" applyFont="1" applyFill="1"/>
    <xf numFmtId="0" fontId="21" fillId="38" borderId="15" xfId="0" applyFont="1" applyFill="1" applyBorder="1"/>
    <xf numFmtId="0" fontId="22" fillId="38" borderId="14" xfId="0" applyFont="1" applyFill="1" applyBorder="1"/>
    <xf numFmtId="0" fontId="22" fillId="38" borderId="0" xfId="0" applyFont="1" applyFill="1"/>
    <xf numFmtId="0" fontId="21" fillId="38" borderId="14" xfId="0" applyFont="1" applyFill="1" applyBorder="1"/>
    <xf numFmtId="0" fontId="21" fillId="38" borderId="16" xfId="0" applyFont="1" applyFill="1" applyBorder="1"/>
    <xf numFmtId="0" fontId="21" fillId="38" borderId="17" xfId="0" applyFont="1" applyFill="1" applyBorder="1"/>
    <xf numFmtId="0" fontId="21" fillId="38" borderId="18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'PT1-Total_Enrolment'!$G$3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'PT1-Total_Enrolment'!$F$4:$F$10</c:f>
              <c:strCache>
                <c:ptCount val="7"/>
                <c:pt idx="0">
                  <c:v>Uttar Pradesh</c:v>
                </c:pt>
                <c:pt idx="1">
                  <c:v>Rajasthan</c:v>
                </c:pt>
                <c:pt idx="2">
                  <c:v>Madhya Pradesh</c:v>
                </c:pt>
                <c:pt idx="3">
                  <c:v>Maharashtra</c:v>
                </c:pt>
                <c:pt idx="4">
                  <c:v>Tamil Nadu</c:v>
                </c:pt>
                <c:pt idx="5">
                  <c:v>Karnataka</c:v>
                </c:pt>
                <c:pt idx="6">
                  <c:v>Gujarat</c:v>
                </c:pt>
              </c:strCache>
            </c:strRef>
          </c:cat>
          <c:val>
            <c:numRef>
              <c:f>'PT1-Total_Enrolment'!$G$4:$G$10</c:f>
              <c:numCache>
                <c:formatCode>General</c:formatCode>
                <c:ptCount val="7"/>
                <c:pt idx="0">
                  <c:v>21095448</c:v>
                </c:pt>
                <c:pt idx="1">
                  <c:v>7584938</c:v>
                </c:pt>
                <c:pt idx="2">
                  <c:v>6523496</c:v>
                </c:pt>
                <c:pt idx="3">
                  <c:v>6392405</c:v>
                </c:pt>
                <c:pt idx="4">
                  <c:v>5229947</c:v>
                </c:pt>
                <c:pt idx="5">
                  <c:v>5153185</c:v>
                </c:pt>
                <c:pt idx="6">
                  <c:v>4155768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1-4728-8030-70A4BA7E0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684918783"/>
        <c:axId val="1684923583"/>
      </c:barChart>
      <c:catAx>
        <c:axId val="1684918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923583"/>
        <c:crosses val="autoZero"/>
        <c:auto val="1"/>
        <c:lblAlgn val="ctr"/>
        <c:lblOffset val="100"/>
        <c:noMultiLvlLbl val="0"/>
      </c:catAx>
      <c:valAx>
        <c:axId val="16849235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918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Gender Parity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PARITY'!$E$3</c:f>
              <c:strCache>
                <c:ptCount val="1"/>
                <c:pt idx="0">
                  <c:v>Sum of GPI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'GENDER PARITY'!$D$4:$D$38</c:f>
              <c:strCache>
                <c:ptCount val="35"/>
                <c:pt idx="0">
                  <c:v>Rajasthan</c:v>
                </c:pt>
                <c:pt idx="1">
                  <c:v>Bihar</c:v>
                </c:pt>
                <c:pt idx="2">
                  <c:v>Haryana</c:v>
                </c:pt>
                <c:pt idx="3">
                  <c:v>Delhi</c:v>
                </c:pt>
                <c:pt idx="4">
                  <c:v>Dadra and Nagar Haveli and Daman and Diu</c:v>
                </c:pt>
                <c:pt idx="5">
                  <c:v>Gujarat</c:v>
                </c:pt>
                <c:pt idx="6">
                  <c:v>Uttarakhand</c:v>
                </c:pt>
                <c:pt idx="7">
                  <c:v>Maharashtra</c:v>
                </c:pt>
                <c:pt idx="8">
                  <c:v>Madhya Pradesh</c:v>
                </c:pt>
                <c:pt idx="9">
                  <c:v>Punjab</c:v>
                </c:pt>
                <c:pt idx="10">
                  <c:v>Jharkhand</c:v>
                </c:pt>
                <c:pt idx="11">
                  <c:v>Himachal Pradesh</c:v>
                </c:pt>
                <c:pt idx="12">
                  <c:v>Odisha</c:v>
                </c:pt>
                <c:pt idx="13">
                  <c:v>Andhra Pradesh</c:v>
                </c:pt>
                <c:pt idx="14">
                  <c:v>Puducherry</c:v>
                </c:pt>
                <c:pt idx="15">
                  <c:v>Uttar Pradesh</c:v>
                </c:pt>
                <c:pt idx="16">
                  <c:v>Jammu and Kashmir</c:v>
                </c:pt>
                <c:pt idx="17">
                  <c:v>Arunachal Pradesh</c:v>
                </c:pt>
                <c:pt idx="18">
                  <c:v>Chandigarh</c:v>
                </c:pt>
                <c:pt idx="19">
                  <c:v>Karnataka</c:v>
                </c:pt>
                <c:pt idx="20">
                  <c:v>Tripura</c:v>
                </c:pt>
                <c:pt idx="21">
                  <c:v>Telangana</c:v>
                </c:pt>
                <c:pt idx="22">
                  <c:v>West Bengal</c:v>
                </c:pt>
                <c:pt idx="23">
                  <c:v>Tamil Nadu</c:v>
                </c:pt>
                <c:pt idx="24">
                  <c:v>Assam</c:v>
                </c:pt>
                <c:pt idx="25">
                  <c:v>Chhattisgarh</c:v>
                </c:pt>
                <c:pt idx="26">
                  <c:v>Sikkim</c:v>
                </c:pt>
                <c:pt idx="27">
                  <c:v>Goa</c:v>
                </c:pt>
                <c:pt idx="28">
                  <c:v>Ladakh</c:v>
                </c:pt>
                <c:pt idx="29">
                  <c:v>Kerala</c:v>
                </c:pt>
                <c:pt idx="30">
                  <c:v>Andaman and Nicobar Islands</c:v>
                </c:pt>
                <c:pt idx="31">
                  <c:v>Nagaland</c:v>
                </c:pt>
                <c:pt idx="32">
                  <c:v>Manipur</c:v>
                </c:pt>
                <c:pt idx="33">
                  <c:v>Mizoram</c:v>
                </c:pt>
                <c:pt idx="34">
                  <c:v>Meghalaya</c:v>
                </c:pt>
              </c:strCache>
            </c:strRef>
          </c:cat>
          <c:val>
            <c:numRef>
              <c:f>'GENDER PARITY'!$E$4:$E$38</c:f>
              <c:numCache>
                <c:formatCode>General</c:formatCode>
                <c:ptCount val="35"/>
                <c:pt idx="0">
                  <c:v>0.70287783093124945</c:v>
                </c:pt>
                <c:pt idx="1">
                  <c:v>0.71224548770862806</c:v>
                </c:pt>
                <c:pt idx="2">
                  <c:v>0.71335087227705307</c:v>
                </c:pt>
                <c:pt idx="3">
                  <c:v>0.72550548288007344</c:v>
                </c:pt>
                <c:pt idx="4">
                  <c:v>0.73247749741773649</c:v>
                </c:pt>
                <c:pt idx="5">
                  <c:v>0.74168118497929858</c:v>
                </c:pt>
                <c:pt idx="6">
                  <c:v>0.76869192239375406</c:v>
                </c:pt>
                <c:pt idx="7">
                  <c:v>0.77589645557192499</c:v>
                </c:pt>
                <c:pt idx="8">
                  <c:v>0.77864420523170108</c:v>
                </c:pt>
                <c:pt idx="9">
                  <c:v>0.78487231270317714</c:v>
                </c:pt>
                <c:pt idx="10">
                  <c:v>0.79125720791257204</c:v>
                </c:pt>
                <c:pt idx="11">
                  <c:v>0.80354247812018598</c:v>
                </c:pt>
                <c:pt idx="12">
                  <c:v>0.80850857448092039</c:v>
                </c:pt>
                <c:pt idx="13">
                  <c:v>0.81187699192131535</c:v>
                </c:pt>
                <c:pt idx="14">
                  <c:v>0.81576700502798594</c:v>
                </c:pt>
                <c:pt idx="15">
                  <c:v>0.81739273819917302</c:v>
                </c:pt>
                <c:pt idx="16">
                  <c:v>0.82209590017246748</c:v>
                </c:pt>
                <c:pt idx="17">
                  <c:v>0.82545328693110809</c:v>
                </c:pt>
                <c:pt idx="18">
                  <c:v>0.82837608956087083</c:v>
                </c:pt>
                <c:pt idx="19">
                  <c:v>0.83894286527916451</c:v>
                </c:pt>
                <c:pt idx="20">
                  <c:v>0.83932033299121911</c:v>
                </c:pt>
                <c:pt idx="21">
                  <c:v>0.84062187552538314</c:v>
                </c:pt>
                <c:pt idx="22">
                  <c:v>0.84825520840791646</c:v>
                </c:pt>
                <c:pt idx="23">
                  <c:v>0.85215246733644667</c:v>
                </c:pt>
                <c:pt idx="24">
                  <c:v>0.86240936846898386</c:v>
                </c:pt>
                <c:pt idx="25">
                  <c:v>0.86481138583306105</c:v>
                </c:pt>
                <c:pt idx="26">
                  <c:v>0.86848615747103863</c:v>
                </c:pt>
                <c:pt idx="27">
                  <c:v>0.87224163515389397</c:v>
                </c:pt>
                <c:pt idx="28">
                  <c:v>0.90475580874351913</c:v>
                </c:pt>
                <c:pt idx="29">
                  <c:v>0.93021625225349414</c:v>
                </c:pt>
                <c:pt idx="30">
                  <c:v>0.93291209812302545</c:v>
                </c:pt>
                <c:pt idx="31">
                  <c:v>0.93331778145367661</c:v>
                </c:pt>
                <c:pt idx="32">
                  <c:v>0.94357669873083716</c:v>
                </c:pt>
                <c:pt idx="33">
                  <c:v>0.99787416823191954</c:v>
                </c:pt>
                <c:pt idx="34">
                  <c:v>1.041048846821653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D-4F76-83A0-55A1D842F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70846703"/>
        <c:axId val="1870826543"/>
      </c:barChart>
      <c:catAx>
        <c:axId val="1870846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826543"/>
        <c:crosses val="autoZero"/>
        <c:auto val="1"/>
        <c:lblAlgn val="ctr"/>
        <c:lblOffset val="100"/>
        <c:noMultiLvlLbl val="0"/>
      </c:catAx>
      <c:valAx>
        <c:axId val="187082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GPI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846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states in Gender Parity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'pt2gender gap'!$E$3</c:f>
              <c:strCache>
                <c:ptCount val="1"/>
                <c:pt idx="0">
                  <c:v>Sum of gender parity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'pt2gender gap'!$D$4:$D$10</c:f>
              <c:strCache>
                <c:ptCount val="7"/>
                <c:pt idx="0">
                  <c:v>Uttar Pradesh</c:v>
                </c:pt>
                <c:pt idx="1">
                  <c:v>Rajasthan</c:v>
                </c:pt>
                <c:pt idx="2">
                  <c:v>Madhya Pradesh</c:v>
                </c:pt>
                <c:pt idx="3">
                  <c:v>Maharashtra</c:v>
                </c:pt>
                <c:pt idx="4">
                  <c:v>Gujarat</c:v>
                </c:pt>
                <c:pt idx="5">
                  <c:v>Bihar</c:v>
                </c:pt>
                <c:pt idx="6">
                  <c:v>Haryana</c:v>
                </c:pt>
              </c:strCache>
            </c:strRef>
          </c:cat>
          <c:val>
            <c:numRef>
              <c:f>'pt2gender gap'!$E$4:$E$10</c:f>
              <c:numCache>
                <c:formatCode>General</c:formatCode>
                <c:ptCount val="7"/>
                <c:pt idx="0">
                  <c:v>2119620</c:v>
                </c:pt>
                <c:pt idx="1">
                  <c:v>1323438</c:v>
                </c:pt>
                <c:pt idx="2">
                  <c:v>811862</c:v>
                </c:pt>
                <c:pt idx="3">
                  <c:v>806669</c:v>
                </c:pt>
                <c:pt idx="4">
                  <c:v>616366</c:v>
                </c:pt>
                <c:pt idx="5">
                  <c:v>555639</c:v>
                </c:pt>
                <c:pt idx="6">
                  <c:v>552413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5-4D60-908E-0A72D107A2A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955287951"/>
        <c:axId val="1955288431"/>
      </c:barChart>
      <c:catAx>
        <c:axId val="19552879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288431"/>
        <c:crosses val="autoZero"/>
        <c:auto val="1"/>
        <c:lblAlgn val="ctr"/>
        <c:lblOffset val="100"/>
        <c:noMultiLvlLbl val="0"/>
      </c:catAx>
      <c:valAx>
        <c:axId val="19552884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difference b/w boys and girls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287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ENROLLMENT</a:t>
            </a:r>
          </a:p>
          <a:p>
            <a:pPr>
              <a:defRPr/>
            </a:pPr>
            <a:r>
              <a:rPr lang="en-US"/>
              <a:t>Top 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513302398381637"/>
          <c:y val="0.17781221496249139"/>
          <c:w val="0.71795956061047927"/>
          <c:h val="0.5582902020425016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'PT1-Total_Enrolment'!$G$3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'PT1-Total_Enrolment'!$F$4:$F$10</c:f>
              <c:strCache>
                <c:ptCount val="7"/>
                <c:pt idx="0">
                  <c:v>Uttar Pradesh</c:v>
                </c:pt>
                <c:pt idx="1">
                  <c:v>Rajasthan</c:v>
                </c:pt>
                <c:pt idx="2">
                  <c:v>Madhya Pradesh</c:v>
                </c:pt>
                <c:pt idx="3">
                  <c:v>Maharashtra</c:v>
                </c:pt>
                <c:pt idx="4">
                  <c:v>Tamil Nadu</c:v>
                </c:pt>
                <c:pt idx="5">
                  <c:v>Karnataka</c:v>
                </c:pt>
                <c:pt idx="6">
                  <c:v>Gujarat</c:v>
                </c:pt>
              </c:strCache>
            </c:strRef>
          </c:cat>
          <c:val>
            <c:numRef>
              <c:f>'PT1-Total_Enrolment'!$G$4:$G$10</c:f>
              <c:numCache>
                <c:formatCode>General</c:formatCode>
                <c:ptCount val="7"/>
                <c:pt idx="0">
                  <c:v>21095448</c:v>
                </c:pt>
                <c:pt idx="1">
                  <c:v>7584938</c:v>
                </c:pt>
                <c:pt idx="2">
                  <c:v>6523496</c:v>
                </c:pt>
                <c:pt idx="3">
                  <c:v>6392405</c:v>
                </c:pt>
                <c:pt idx="4">
                  <c:v>5229947</c:v>
                </c:pt>
                <c:pt idx="5">
                  <c:v>5153185</c:v>
                </c:pt>
                <c:pt idx="6">
                  <c:v>4155768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8-4A0D-A71D-9298397B6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84918783"/>
        <c:axId val="1684923583"/>
      </c:barChart>
      <c:catAx>
        <c:axId val="1684918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923583"/>
        <c:crosses val="autoZero"/>
        <c:auto val="1"/>
        <c:lblAlgn val="ctr"/>
        <c:lblOffset val="100"/>
        <c:noMultiLvlLbl val="0"/>
      </c:catAx>
      <c:valAx>
        <c:axId val="168492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918783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accent1">
        <a:lumMod val="50000"/>
      </a:schemeClr>
    </a:solidFill>
    <a:ln>
      <a:solidFill>
        <a:schemeClr val="tx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 states in Gender Gap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'pt2gender gap'!$E$3</c:f>
              <c:strCache>
                <c:ptCount val="1"/>
                <c:pt idx="0">
                  <c:v>Sum of gender parity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'pt2gender gap'!$D$4:$D$10</c:f>
              <c:strCache>
                <c:ptCount val="7"/>
                <c:pt idx="0">
                  <c:v>Uttar Pradesh</c:v>
                </c:pt>
                <c:pt idx="1">
                  <c:v>Rajasthan</c:v>
                </c:pt>
                <c:pt idx="2">
                  <c:v>Madhya Pradesh</c:v>
                </c:pt>
                <c:pt idx="3">
                  <c:v>Maharashtra</c:v>
                </c:pt>
                <c:pt idx="4">
                  <c:v>Gujarat</c:v>
                </c:pt>
                <c:pt idx="5">
                  <c:v>Bihar</c:v>
                </c:pt>
                <c:pt idx="6">
                  <c:v>Haryana</c:v>
                </c:pt>
              </c:strCache>
            </c:strRef>
          </c:cat>
          <c:val>
            <c:numRef>
              <c:f>'pt2gender gap'!$E$4:$E$10</c:f>
              <c:numCache>
                <c:formatCode>General</c:formatCode>
                <c:ptCount val="7"/>
                <c:pt idx="0">
                  <c:v>2119620</c:v>
                </c:pt>
                <c:pt idx="1">
                  <c:v>1323438</c:v>
                </c:pt>
                <c:pt idx="2">
                  <c:v>811862</c:v>
                </c:pt>
                <c:pt idx="3">
                  <c:v>806669</c:v>
                </c:pt>
                <c:pt idx="4">
                  <c:v>616366</c:v>
                </c:pt>
                <c:pt idx="5">
                  <c:v>555639</c:v>
                </c:pt>
                <c:pt idx="6">
                  <c:v>552413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2-4D13-B869-83AEF3A1D2C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955287951"/>
        <c:axId val="1955288431"/>
      </c:barChart>
      <c:catAx>
        <c:axId val="19552879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288431"/>
        <c:crosses val="autoZero"/>
        <c:auto val="1"/>
        <c:lblAlgn val="ctr"/>
        <c:lblOffset val="100"/>
        <c:noMultiLvlLbl val="0"/>
      </c:catAx>
      <c:valAx>
        <c:axId val="19552884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difference b/w boys and girls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287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5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Gender Parity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PARITY'!$E$3</c:f>
              <c:strCache>
                <c:ptCount val="1"/>
                <c:pt idx="0">
                  <c:v>Sum of GPI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'GENDER PARITY'!$D$4:$D$38</c:f>
              <c:strCache>
                <c:ptCount val="35"/>
                <c:pt idx="0">
                  <c:v>Rajasthan</c:v>
                </c:pt>
                <c:pt idx="1">
                  <c:v>Bihar</c:v>
                </c:pt>
                <c:pt idx="2">
                  <c:v>Haryana</c:v>
                </c:pt>
                <c:pt idx="3">
                  <c:v>Delhi</c:v>
                </c:pt>
                <c:pt idx="4">
                  <c:v>Dadra and Nagar Haveli and Daman and Diu</c:v>
                </c:pt>
                <c:pt idx="5">
                  <c:v>Gujarat</c:v>
                </c:pt>
                <c:pt idx="6">
                  <c:v>Uttarakhand</c:v>
                </c:pt>
                <c:pt idx="7">
                  <c:v>Maharashtra</c:v>
                </c:pt>
                <c:pt idx="8">
                  <c:v>Madhya Pradesh</c:v>
                </c:pt>
                <c:pt idx="9">
                  <c:v>Punjab</c:v>
                </c:pt>
                <c:pt idx="10">
                  <c:v>Jharkhand</c:v>
                </c:pt>
                <c:pt idx="11">
                  <c:v>Himachal Pradesh</c:v>
                </c:pt>
                <c:pt idx="12">
                  <c:v>Odisha</c:v>
                </c:pt>
                <c:pt idx="13">
                  <c:v>Andhra Pradesh</c:v>
                </c:pt>
                <c:pt idx="14">
                  <c:v>Puducherry</c:v>
                </c:pt>
                <c:pt idx="15">
                  <c:v>Uttar Pradesh</c:v>
                </c:pt>
                <c:pt idx="16">
                  <c:v>Jammu and Kashmir</c:v>
                </c:pt>
                <c:pt idx="17">
                  <c:v>Arunachal Pradesh</c:v>
                </c:pt>
                <c:pt idx="18">
                  <c:v>Chandigarh</c:v>
                </c:pt>
                <c:pt idx="19">
                  <c:v>Karnataka</c:v>
                </c:pt>
                <c:pt idx="20">
                  <c:v>Tripura</c:v>
                </c:pt>
                <c:pt idx="21">
                  <c:v>Telangana</c:v>
                </c:pt>
                <c:pt idx="22">
                  <c:v>West Bengal</c:v>
                </c:pt>
                <c:pt idx="23">
                  <c:v>Tamil Nadu</c:v>
                </c:pt>
                <c:pt idx="24">
                  <c:v>Assam</c:v>
                </c:pt>
                <c:pt idx="25">
                  <c:v>Chhattisgarh</c:v>
                </c:pt>
                <c:pt idx="26">
                  <c:v>Sikkim</c:v>
                </c:pt>
                <c:pt idx="27">
                  <c:v>Goa</c:v>
                </c:pt>
                <c:pt idx="28">
                  <c:v>Ladakh</c:v>
                </c:pt>
                <c:pt idx="29">
                  <c:v>Kerala</c:v>
                </c:pt>
                <c:pt idx="30">
                  <c:v>Andaman and Nicobar Islands</c:v>
                </c:pt>
                <c:pt idx="31">
                  <c:v>Nagaland</c:v>
                </c:pt>
                <c:pt idx="32">
                  <c:v>Manipur</c:v>
                </c:pt>
                <c:pt idx="33">
                  <c:v>Mizoram</c:v>
                </c:pt>
                <c:pt idx="34">
                  <c:v>Meghalaya</c:v>
                </c:pt>
              </c:strCache>
            </c:strRef>
          </c:cat>
          <c:val>
            <c:numRef>
              <c:f>'GENDER PARITY'!$E$4:$E$38</c:f>
              <c:numCache>
                <c:formatCode>General</c:formatCode>
                <c:ptCount val="35"/>
                <c:pt idx="0">
                  <c:v>0.70287783093124945</c:v>
                </c:pt>
                <c:pt idx="1">
                  <c:v>0.71224548770862806</c:v>
                </c:pt>
                <c:pt idx="2">
                  <c:v>0.71335087227705307</c:v>
                </c:pt>
                <c:pt idx="3">
                  <c:v>0.72550548288007344</c:v>
                </c:pt>
                <c:pt idx="4">
                  <c:v>0.73247749741773649</c:v>
                </c:pt>
                <c:pt idx="5">
                  <c:v>0.74168118497929858</c:v>
                </c:pt>
                <c:pt idx="6">
                  <c:v>0.76869192239375406</c:v>
                </c:pt>
                <c:pt idx="7">
                  <c:v>0.77589645557192499</c:v>
                </c:pt>
                <c:pt idx="8">
                  <c:v>0.77864420523170108</c:v>
                </c:pt>
                <c:pt idx="9">
                  <c:v>0.78487231270317714</c:v>
                </c:pt>
                <c:pt idx="10">
                  <c:v>0.79125720791257204</c:v>
                </c:pt>
                <c:pt idx="11">
                  <c:v>0.80354247812018598</c:v>
                </c:pt>
                <c:pt idx="12">
                  <c:v>0.80850857448092039</c:v>
                </c:pt>
                <c:pt idx="13">
                  <c:v>0.81187699192131535</c:v>
                </c:pt>
                <c:pt idx="14">
                  <c:v>0.81576700502798594</c:v>
                </c:pt>
                <c:pt idx="15">
                  <c:v>0.81739273819917302</c:v>
                </c:pt>
                <c:pt idx="16">
                  <c:v>0.82209590017246748</c:v>
                </c:pt>
                <c:pt idx="17">
                  <c:v>0.82545328693110809</c:v>
                </c:pt>
                <c:pt idx="18">
                  <c:v>0.82837608956087083</c:v>
                </c:pt>
                <c:pt idx="19">
                  <c:v>0.83894286527916451</c:v>
                </c:pt>
                <c:pt idx="20">
                  <c:v>0.83932033299121911</c:v>
                </c:pt>
                <c:pt idx="21">
                  <c:v>0.84062187552538314</c:v>
                </c:pt>
                <c:pt idx="22">
                  <c:v>0.84825520840791646</c:v>
                </c:pt>
                <c:pt idx="23">
                  <c:v>0.85215246733644667</c:v>
                </c:pt>
                <c:pt idx="24">
                  <c:v>0.86240936846898386</c:v>
                </c:pt>
                <c:pt idx="25">
                  <c:v>0.86481138583306105</c:v>
                </c:pt>
                <c:pt idx="26">
                  <c:v>0.86848615747103863</c:v>
                </c:pt>
                <c:pt idx="27">
                  <c:v>0.87224163515389397</c:v>
                </c:pt>
                <c:pt idx="28">
                  <c:v>0.90475580874351913</c:v>
                </c:pt>
                <c:pt idx="29">
                  <c:v>0.93021625225349414</c:v>
                </c:pt>
                <c:pt idx="30">
                  <c:v>0.93291209812302545</c:v>
                </c:pt>
                <c:pt idx="31">
                  <c:v>0.93331778145367661</c:v>
                </c:pt>
                <c:pt idx="32">
                  <c:v>0.94357669873083716</c:v>
                </c:pt>
                <c:pt idx="33">
                  <c:v>0.99787416823191954</c:v>
                </c:pt>
                <c:pt idx="34">
                  <c:v>1.041048846821653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27-49C7-A857-6FA5CBFC6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70846703"/>
        <c:axId val="1870826543"/>
      </c:barChart>
      <c:catAx>
        <c:axId val="1870846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826543"/>
        <c:crosses val="autoZero"/>
        <c:auto val="1"/>
        <c:lblAlgn val="ctr"/>
        <c:lblOffset val="100"/>
        <c:noMultiLvlLbl val="0"/>
      </c:catAx>
      <c:valAx>
        <c:axId val="187082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GPI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846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60000"/>
        <a:lumOff val="4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Dropout funnel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Dropout funnel</a:t>
          </a:r>
        </a:p>
      </cx:txPr>
    </cx:title>
    <cx:plotArea>
      <cx:plotAreaRegion>
        <cx:series layoutId="funnel" uniqueId="{338EFBA4-E134-466C-BD8F-77DDE503C531}">
          <cx:tx>
            <cx:txData>
              <cx:f>_xlchart.v2.1</cx:f>
              <cx:v>Total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tle>
          <cx:tx>
            <cx:txData>
              <cx:v>LEVEL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LEVEL</a:t>
              </a:r>
            </a:p>
          </cx:txPr>
        </cx:title>
        <cx:tickLabels/>
      </cx:axis>
    </cx:plotArea>
  </cx:chart>
  <cx:spPr>
    <a:solidFill>
      <a:schemeClr val="accent5">
        <a:lumMod val="60000"/>
        <a:lumOff val="40000"/>
      </a:schemeClr>
    </a:solidFill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txData>
          <cx:v>Dropout funnel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Dropout funnel</a:t>
          </a:r>
        </a:p>
      </cx:txPr>
    </cx:title>
    <cx:plotArea>
      <cx:plotAreaRegion>
        <cx:series layoutId="funnel" uniqueId="{338EFBA4-E134-466C-BD8F-77DDE503C531}">
          <cx:tx>
            <cx:txData>
              <cx:f>_xlchart.v2.4</cx:f>
              <cx:v>Total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tle>
          <cx:tx>
            <cx:txData>
              <cx:v>LEVEL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LEVEL</a:t>
              </a:r>
            </a:p>
          </cx:txPr>
        </cx:title>
        <cx:tickLabels/>
      </cx:axis>
    </cx:plotArea>
  </cx:chart>
  <cx:spPr>
    <a:solidFill>
      <a:schemeClr val="accent5">
        <a:lumMod val="60000"/>
        <a:lumOff val="40000"/>
      </a:schemeClr>
    </a:solidFill>
    <a:ln>
      <a:solidFill>
        <a:sysClr val="windowText" lastClr="000000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1</xdr:row>
      <xdr:rowOff>133350</xdr:rowOff>
    </xdr:from>
    <xdr:to>
      <xdr:col>13</xdr:col>
      <xdr:colOff>251460</xdr:colOff>
      <xdr:row>26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BFD5E7-0C47-21F9-C893-4FAF2178B6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167640</xdr:colOff>
      <xdr:row>11</xdr:row>
      <xdr:rowOff>125730</xdr:rowOff>
    </xdr:from>
    <xdr:to>
      <xdr:col>15</xdr:col>
      <xdr:colOff>167640</xdr:colOff>
      <xdr:row>37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9F1230-4DC5-CCBF-DBA6-D53F76EC8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140970</xdr:rowOff>
    </xdr:from>
    <xdr:to>
      <xdr:col>13</xdr:col>
      <xdr:colOff>594360</xdr:colOff>
      <xdr:row>22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2B9912-7B52-71AE-90D9-93C38B9847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678180</xdr:colOff>
      <xdr:row>0</xdr:row>
      <xdr:rowOff>72390</xdr:rowOff>
    </xdr:from>
    <xdr:to>
      <xdr:col>11</xdr:col>
      <xdr:colOff>350520</xdr:colOff>
      <xdr:row>25</xdr:row>
      <xdr:rowOff>129540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E211B43-439B-F9D0-A59C-CDAC302652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64380" y="72390"/>
              <a:ext cx="6903720" cy="4629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</xdr:colOff>
      <xdr:row>0</xdr:row>
      <xdr:rowOff>30480</xdr:rowOff>
    </xdr:from>
    <xdr:to>
      <xdr:col>10</xdr:col>
      <xdr:colOff>594360</xdr:colOff>
      <xdr:row>12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A22A-DB3A-4021-8C29-9505FBE29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0</xdr:row>
      <xdr:rowOff>15240</xdr:rowOff>
    </xdr:from>
    <xdr:to>
      <xdr:col>21</xdr:col>
      <xdr:colOff>434340</xdr:colOff>
      <xdr:row>12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8D3E9E-4B46-4B26-B921-FA96E7E4E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175260</xdr:colOff>
      <xdr:row>12</xdr:row>
      <xdr:rowOff>7620</xdr:rowOff>
    </xdr:from>
    <xdr:to>
      <xdr:col>21</xdr:col>
      <xdr:colOff>441960</xdr:colOff>
      <xdr:row>26</xdr:row>
      <xdr:rowOff>175260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E4182028-E370-4FD1-91B0-EC78CB32D5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78980" y="2202180"/>
              <a:ext cx="6972300" cy="27279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99060</xdr:colOff>
      <xdr:row>12</xdr:row>
      <xdr:rowOff>0</xdr:rowOff>
    </xdr:from>
    <xdr:to>
      <xdr:col>10</xdr:col>
      <xdr:colOff>167640</xdr:colOff>
      <xdr:row>27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9835BD4-299B-4BA6-9AFE-2864F15756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rabh" refreshedDate="46172.624590740743" createdVersion="8" refreshedVersion="8" minRefreshableVersion="3" recordCount="37" xr:uid="{B8DEFB10-8487-4833-B44E-732F47BFBA92}">
  <cacheSource type="worksheet">
    <worksheetSource ref="A1:Y38" sheet="Raw_Data"/>
  </cacheSource>
  <cacheFields count="25">
    <cacheField name="State" numFmtId="0">
      <sharedItems count="37">
        <s v="India"/>
        <s v="Andaman and Nicobar Islands"/>
        <s v="Andhra Pradesh"/>
        <s v="Arunachal Pradesh"/>
        <s v="Assam"/>
        <s v="Bihar"/>
        <s v="Chandigarh"/>
        <s v="Chhattisgarh"/>
        <s v="Dadra and Nagar Haveli and Daman and Diu"/>
        <s v="Delhi"/>
        <s v="Goa"/>
        <s v="Gujarat"/>
        <s v="Haryana"/>
        <s v="Himachal Pradesh"/>
        <s v="Jammu and Kashmir"/>
        <s v="Jharkhand"/>
        <s v="Karnataka"/>
        <s v="Kerala"/>
        <s v="Ladakh"/>
        <s v="Lakshadweep"/>
        <s v="Madhya Pradesh"/>
        <s v="Maharashtra"/>
        <s v="Manipur"/>
        <s v="Meghalaya"/>
        <s v="Mizoram"/>
        <s v="Nagaland"/>
        <s v="Odisha"/>
        <s v="Puducherry"/>
        <s v="Punjab"/>
        <s v="Rajasthan"/>
        <s v="Sikkim"/>
        <s v="Tamil Nadu"/>
        <s v="Telangana"/>
        <s v="Tripura"/>
        <s v="Uttar Pradesh"/>
        <s v="Uttarakhand"/>
        <s v="West Bengal"/>
      </sharedItems>
    </cacheField>
    <cacheField name=" Pre_Pri _Boys" numFmtId="0">
      <sharedItems containsSemiMixedTypes="0" containsString="0" containsNumber="1" containsInteger="1" minValue="0" maxValue="3165922"/>
    </cacheField>
    <cacheField name=" Pre_Pri_Girls" numFmtId="0">
      <sharedItems containsSemiMixedTypes="0" containsString="0" containsNumber="1" containsInteger="1" minValue="0" maxValue="2655069"/>
    </cacheField>
    <cacheField name=" Pre_Pri_ Total" numFmtId="0">
      <sharedItems containsSemiMixedTypes="0" containsString="0" containsNumber="1" containsInteger="1" minValue="0" maxValue="5820991"/>
    </cacheField>
    <cacheField name=" Pri (1 to 5) - Boys" numFmtId="0">
      <sharedItems containsSemiMixedTypes="0" containsString="0" containsNumber="1" containsInteger="1" minValue="0" maxValue="21642902"/>
    </cacheField>
    <cacheField name="Pri (1 to 5) - Girls" numFmtId="0">
      <sharedItems containsSemiMixedTypes="0" containsString="0" containsNumber="1" containsInteger="1" minValue="0" maxValue="17293492"/>
    </cacheField>
    <cacheField name="Pri (1 to 5) - Total" numFmtId="0">
      <sharedItems containsSemiMixedTypes="0" containsString="0" containsNumber="1" containsInteger="1" minValue="0" maxValue="38936394"/>
    </cacheField>
    <cacheField name="UppPri(6-8) - Boys" numFmtId="0">
      <sharedItems containsSemiMixedTypes="0" containsString="0" containsNumber="1" containsInteger="1" minValue="0" maxValue="11253354"/>
    </cacheField>
    <cacheField name=" UppPri (6-8) - Girls" numFmtId="0">
      <sharedItems containsSemiMixedTypes="0" containsString="0" containsNumber="1" containsInteger="1" minValue="0" maxValue="8759875"/>
    </cacheField>
    <cacheField name=" UppPri (6-8) - Total" numFmtId="0">
      <sharedItems containsSemiMixedTypes="0" containsString="0" containsNumber="1" containsInteger="1" minValue="0" maxValue="20013229"/>
    </cacheField>
    <cacheField name=" Ele (1-8) - Boys" numFmtId="0">
      <sharedItems containsSemiMixedTypes="0" containsString="0" containsNumber="1" containsInteger="1" minValue="0" maxValue="32896256"/>
    </cacheField>
    <cacheField name=" Ele (1-8) - Girls" numFmtId="0">
      <sharedItems containsSemiMixedTypes="0" containsString="0" containsNumber="1" containsInteger="1" minValue="0" maxValue="26053367"/>
    </cacheField>
    <cacheField name=" Ele (1-8) - Total" numFmtId="0">
      <sharedItems containsSemiMixedTypes="0" containsString="0" containsNumber="1" containsInteger="1" minValue="0" maxValue="58949623"/>
    </cacheField>
    <cacheField name=" Sec (9-10) - Boys" numFmtId="0">
      <sharedItems containsSemiMixedTypes="0" containsString="0" containsNumber="1" containsInteger="1" minValue="0" maxValue="7229787"/>
    </cacheField>
    <cacheField name="Sec (9-10) - Girls" numFmtId="0">
      <sharedItems containsSemiMixedTypes="0" containsString="0" containsNumber="1" containsInteger="1" minValue="0" maxValue="5617494"/>
    </cacheField>
    <cacheField name=" Sec (9-10) - Total" numFmtId="0">
      <sharedItems containsSemiMixedTypes="0" containsString="0" containsNumber="1" containsInteger="1" minValue="0" maxValue="12847281"/>
    </cacheField>
    <cacheField name=" H Sec (11-12) - Boys" numFmtId="0">
      <sharedItems containsSemiMixedTypes="0" containsString="0" containsNumber="1" containsInteger="1" minValue="0" maxValue="5879924"/>
    </cacheField>
    <cacheField name="H Sec (11-12) - Girls" numFmtId="0">
      <sharedItems containsSemiMixedTypes="0" containsString="0" containsNumber="1" containsInteger="1" minValue="0" maxValue="4773497"/>
    </cacheField>
    <cacheField name=" H Sec (11-12) - Total" numFmtId="0">
      <sharedItems containsSemiMixedTypes="0" containsString="0" containsNumber="1" containsInteger="1" minValue="0" maxValue="10653421"/>
    </cacheField>
    <cacheField name="Pri to H Sec (1-12) - Boys" numFmtId="0">
      <sharedItems containsSemiMixedTypes="0" containsString="0" containsNumber="1" containsInteger="1" minValue="0" maxValue="46005967"/>
    </cacheField>
    <cacheField name="Pri to H Sec (1-12) - Girls" numFmtId="0">
      <sharedItems containsSemiMixedTypes="0" containsString="0" containsNumber="1" containsInteger="1" minValue="0" maxValue="36444358"/>
    </cacheField>
    <cacheField name="Pri to H Sec (1-12) - Total" numFmtId="0">
      <sharedItems containsSemiMixedTypes="0" containsString="0" containsNumber="1" containsInteger="1" minValue="0" maxValue="82450325"/>
    </cacheField>
    <cacheField name="Total (Pre-Pri to H Sec) - Boys" numFmtId="0">
      <sharedItems containsSemiMixedTypes="0" containsString="0" containsNumber="1" containsInteger="1" minValue="0" maxValue="49171889"/>
    </cacheField>
    <cacheField name="Total (Pre-Pri to H Sec) - Girls" numFmtId="0">
      <sharedItems containsSemiMixedTypes="0" containsString="0" containsNumber="1" containsInteger="1" minValue="0" maxValue="39099427"/>
    </cacheField>
    <cacheField name="Total (Pre-Pri to H Sec) - Total" numFmtId="0">
      <sharedItems containsSemiMixedTypes="0" containsString="0" containsNumber="1" containsInteger="1" minValue="0" maxValue="882713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rabh" refreshedDate="46182.951891898148" createdVersion="8" refreshedVersion="8" minRefreshableVersion="3" recordCount="36" xr:uid="{EF5A76FB-9FE1-42C6-9099-C5A06F5DE597}">
  <cacheSource type="worksheet">
    <worksheetSource ref="A1:B36" sheet="Sheet2"/>
  </cacheSource>
  <cacheFields count="2">
    <cacheField name="State" numFmtId="0">
      <sharedItems count="36">
        <s v="Andaman and Nicobar Islands"/>
        <s v="Andhra Pradesh"/>
        <s v="Arunachal Pradesh"/>
        <s v="Assam"/>
        <s v="Bihar"/>
        <s v="Chandigarh"/>
        <s v="Chhattisgarh"/>
        <s v="Dadra and Nagar Haveli and Daman and Diu"/>
        <s v="Delhi"/>
        <s v="Goa"/>
        <s v="Gujarat"/>
        <s v="Haryana"/>
        <s v="Himachal Pradesh"/>
        <s v="Jammu and Kashmir"/>
        <s v="Jharkhand"/>
        <s v="Karnataka"/>
        <s v="Kerala"/>
        <s v="Ladakh"/>
        <s v="Lakshadweep"/>
        <s v="Madhya Pradesh"/>
        <s v="Maharashtra"/>
        <s v="Manipur"/>
        <s v="Meghalaya"/>
        <s v="Mizoram"/>
        <s v="Nagaland"/>
        <s v="Odisha"/>
        <s v="Puducherry"/>
        <s v="Punjab"/>
        <s v="Rajasthan"/>
        <s v="Sikkim"/>
        <s v="Tamil Nadu"/>
        <s v="Telangana"/>
        <s v="Tripura"/>
        <s v="Uttar Pradesh"/>
        <s v="Uttarakhand"/>
        <s v="West Bengal"/>
      </sharedItems>
    </cacheField>
    <cacheField name="gender parity" numFmtId="0">
      <sharedItems containsSemiMixedTypes="0" containsString="0" containsNumber="1" containsInteger="1" minValue="-5343" maxValue="21196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rabh" refreshedDate="46183.918486342591" createdVersion="8" refreshedVersion="8" minRefreshableVersion="3" recordCount="35" xr:uid="{BF94A310-6172-436A-9251-2E6C26EC2AD8}">
  <cacheSource type="worksheet">
    <worksheetSource ref="E1:F36" sheet="Sheet2"/>
  </cacheSource>
  <cacheFields count="2">
    <cacheField name="State" numFmtId="0">
      <sharedItems count="35">
        <s v="Andaman and Nicobar Islands"/>
        <s v="Andhra Pradesh"/>
        <s v="Arunachal Pradesh"/>
        <s v="Assam"/>
        <s v="Bihar"/>
        <s v="Chandigarh"/>
        <s v="Chhattisgarh"/>
        <s v="Dadra and Nagar Haveli and Daman and Diu"/>
        <s v="Delhi"/>
        <s v="Goa"/>
        <s v="Gujarat"/>
        <s v="Haryana"/>
        <s v="Himachal Pradesh"/>
        <s v="Jammu and Kashmir"/>
        <s v="Jharkhand"/>
        <s v="Karnataka"/>
        <s v="Kerala"/>
        <s v="Ladakh"/>
        <s v="Madhya Pradesh"/>
        <s v="Maharashtra"/>
        <s v="Manipur"/>
        <s v="Meghalaya"/>
        <s v="Mizoram"/>
        <s v="Nagaland"/>
        <s v="Odisha"/>
        <s v="Puducherry"/>
        <s v="Punjab"/>
        <s v="Rajasthan"/>
        <s v="Sikkim"/>
        <s v="Tamil Nadu"/>
        <s v="Telangana"/>
        <s v="Tripura"/>
        <s v="Uttar Pradesh"/>
        <s v="Uttarakhand"/>
        <s v="West Bengal"/>
      </sharedItems>
    </cacheField>
    <cacheField name="GPI" numFmtId="0">
      <sharedItems containsSemiMixedTypes="0" containsString="0" containsNumber="1" minValue="0.70287783093124945" maxValue="1.0410488468216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n v="3165922"/>
    <n v="2655069"/>
    <n v="5820991"/>
    <n v="21642902"/>
    <n v="17293492"/>
    <n v="38936394"/>
    <n v="11253354"/>
    <n v="8759875"/>
    <n v="20013229"/>
    <n v="32896256"/>
    <n v="26053367"/>
    <n v="58949623"/>
    <n v="7229787"/>
    <n v="5617494"/>
    <n v="12847281"/>
    <n v="5879924"/>
    <n v="4773497"/>
    <n v="10653421"/>
    <n v="46005967"/>
    <n v="36444358"/>
    <n v="82450325"/>
    <n v="49171889"/>
    <n v="39099427"/>
    <n v="88271316"/>
  </r>
  <r>
    <x v="1"/>
    <n v="1508"/>
    <n v="1468"/>
    <n v="2976"/>
    <n v="5144"/>
    <n v="4656"/>
    <n v="9800"/>
    <n v="2361"/>
    <n v="2162"/>
    <n v="4523"/>
    <n v="7505"/>
    <n v="6818"/>
    <n v="14323"/>
    <n v="1071"/>
    <n v="1091"/>
    <n v="2162"/>
    <n v="678"/>
    <n v="663"/>
    <n v="1341"/>
    <n v="9254"/>
    <n v="8572"/>
    <n v="17826"/>
    <n v="10762"/>
    <n v="10040"/>
    <n v="20802"/>
  </r>
  <r>
    <x v="2"/>
    <n v="39414"/>
    <n v="32953"/>
    <n v="72367"/>
    <n v="789604"/>
    <n v="634492"/>
    <n v="1424096"/>
    <n v="418029"/>
    <n v="316656"/>
    <n v="734685"/>
    <n v="1207633"/>
    <n v="951148"/>
    <n v="2158781"/>
    <n v="266457"/>
    <n v="205300"/>
    <n v="471757"/>
    <n v="319839"/>
    <n v="299048"/>
    <n v="618887"/>
    <n v="1793929"/>
    <n v="1455496"/>
    <n v="3249425"/>
    <n v="1833343"/>
    <n v="1488449"/>
    <n v="3321792"/>
  </r>
  <r>
    <x v="3"/>
    <n v="8480"/>
    <n v="7359"/>
    <n v="15839"/>
    <n v="27338"/>
    <n v="22606"/>
    <n v="49944"/>
    <n v="10706"/>
    <n v="8105"/>
    <n v="18811"/>
    <n v="38044"/>
    <n v="30711"/>
    <n v="68755"/>
    <n v="3884"/>
    <n v="3226"/>
    <n v="7110"/>
    <n v="1601"/>
    <n v="1635"/>
    <n v="3236"/>
    <n v="43529"/>
    <n v="35572"/>
    <n v="79101"/>
    <n v="52009"/>
    <n v="42931"/>
    <n v="94940"/>
  </r>
  <r>
    <x v="4"/>
    <n v="107652"/>
    <n v="91207"/>
    <n v="198859"/>
    <n v="391625"/>
    <n v="328619"/>
    <n v="720244"/>
    <n v="187184"/>
    <n v="160754"/>
    <n v="347938"/>
    <n v="578809"/>
    <n v="489373"/>
    <n v="1068182"/>
    <n v="103964"/>
    <n v="91565"/>
    <n v="195529"/>
    <n v="66065"/>
    <n v="66500"/>
    <n v="132565"/>
    <n v="748838"/>
    <n v="647438"/>
    <n v="1396276"/>
    <n v="856490"/>
    <n v="738645"/>
    <n v="1595135"/>
  </r>
  <r>
    <x v="5"/>
    <n v="137757"/>
    <n v="93981"/>
    <n v="231738"/>
    <n v="776343"/>
    <n v="520403"/>
    <n v="1296746"/>
    <n v="396671"/>
    <n v="265754"/>
    <n v="662425"/>
    <n v="1173014"/>
    <n v="786157"/>
    <n v="1959171"/>
    <n v="286714"/>
    <n v="220909"/>
    <n v="507623"/>
    <n v="333463"/>
    <n v="274262"/>
    <n v="607725"/>
    <n v="1793191"/>
    <n v="1281328"/>
    <n v="3074519"/>
    <n v="1930948"/>
    <n v="1375309"/>
    <n v="3306257"/>
  </r>
  <r>
    <x v="6"/>
    <n v="6297"/>
    <n v="5653"/>
    <n v="11950"/>
    <n v="17812"/>
    <n v="14953"/>
    <n v="32765"/>
    <n v="10801"/>
    <n v="8815"/>
    <n v="19616"/>
    <n v="28613"/>
    <n v="23768"/>
    <n v="52381"/>
    <n v="7496"/>
    <n v="5797"/>
    <n v="13293"/>
    <n v="6008"/>
    <n v="4887"/>
    <n v="10895"/>
    <n v="42117"/>
    <n v="34452"/>
    <n v="76569"/>
    <n v="48414"/>
    <n v="40105"/>
    <n v="88519"/>
  </r>
  <r>
    <x v="7"/>
    <n v="118510"/>
    <n v="105709"/>
    <n v="224219"/>
    <n v="403938"/>
    <n v="352959"/>
    <n v="756897"/>
    <n v="184860"/>
    <n v="156226"/>
    <n v="341086"/>
    <n v="588798"/>
    <n v="509185"/>
    <n v="1097983"/>
    <n v="94175"/>
    <n v="78880"/>
    <n v="173055"/>
    <n v="79893"/>
    <n v="68450"/>
    <n v="148343"/>
    <n v="762866"/>
    <n v="656515"/>
    <n v="1419381"/>
    <n v="881376"/>
    <n v="762224"/>
    <n v="1643600"/>
  </r>
  <r>
    <x v="8"/>
    <n v="1779"/>
    <n v="1413"/>
    <n v="3192"/>
    <n v="9471"/>
    <n v="7096"/>
    <n v="16567"/>
    <n v="4710"/>
    <n v="3341"/>
    <n v="8051"/>
    <n v="14181"/>
    <n v="10437"/>
    <n v="24618"/>
    <n v="2769"/>
    <n v="1872"/>
    <n v="4641"/>
    <n v="1602"/>
    <n v="1170"/>
    <n v="2772"/>
    <n v="18552"/>
    <n v="13479"/>
    <n v="32031"/>
    <n v="20331"/>
    <n v="14892"/>
    <n v="35223"/>
  </r>
  <r>
    <x v="9"/>
    <n v="70194"/>
    <n v="58640"/>
    <n v="128834"/>
    <n v="417578"/>
    <n v="312993"/>
    <n v="730571"/>
    <n v="225324"/>
    <n v="155120"/>
    <n v="380444"/>
    <n v="642902"/>
    <n v="468113"/>
    <n v="1111015"/>
    <n v="121935"/>
    <n v="82184"/>
    <n v="204119"/>
    <n v="106445"/>
    <n v="74109"/>
    <n v="180554"/>
    <n v="871282"/>
    <n v="624406"/>
    <n v="1495688"/>
    <n v="941476"/>
    <n v="683046"/>
    <n v="1624522"/>
  </r>
  <r>
    <x v="10"/>
    <n v="3652"/>
    <n v="3223"/>
    <n v="6875"/>
    <n v="12978"/>
    <n v="11108"/>
    <n v="24086"/>
    <n v="2215"/>
    <n v="2071"/>
    <n v="4286"/>
    <n v="15193"/>
    <n v="13179"/>
    <n v="28372"/>
    <n v="1180"/>
    <n v="1120"/>
    <n v="2300"/>
    <n v="866"/>
    <n v="700"/>
    <n v="1566"/>
    <n v="17239"/>
    <n v="14999"/>
    <n v="32238"/>
    <n v="20891"/>
    <n v="18222"/>
    <n v="39113"/>
  </r>
  <r>
    <x v="11"/>
    <n v="87635"/>
    <n v="70156"/>
    <n v="157791"/>
    <n v="1107303"/>
    <n v="848011"/>
    <n v="1955314"/>
    <n v="621885"/>
    <n v="463917"/>
    <n v="1085802"/>
    <n v="1729188"/>
    <n v="1311928"/>
    <n v="3041116"/>
    <n v="313106"/>
    <n v="211188"/>
    <n v="524294"/>
    <n v="256138"/>
    <n v="176429"/>
    <n v="432567"/>
    <n v="2298432"/>
    <n v="1699545"/>
    <n v="3997977"/>
    <n v="2386067"/>
    <n v="1769701"/>
    <n v="4155768"/>
  </r>
  <r>
    <x v="12"/>
    <n v="120637"/>
    <n v="94646"/>
    <n v="215283"/>
    <n v="780210"/>
    <n v="562248"/>
    <n v="1342458"/>
    <n v="479889"/>
    <n v="336053"/>
    <n v="815942"/>
    <n v="1260099"/>
    <n v="898301"/>
    <n v="2158400"/>
    <n v="311080"/>
    <n v="211566"/>
    <n v="522646"/>
    <n v="235324"/>
    <n v="170214"/>
    <n v="405538"/>
    <n v="1806503"/>
    <n v="1280081"/>
    <n v="3086584"/>
    <n v="1927140"/>
    <n v="1374727"/>
    <n v="3301867"/>
  </r>
  <r>
    <x v="13"/>
    <n v="33731"/>
    <n v="28483"/>
    <n v="62214"/>
    <n v="131356"/>
    <n v="107292"/>
    <n v="238648"/>
    <n v="68642"/>
    <n v="54162"/>
    <n v="122804"/>
    <n v="199998"/>
    <n v="161454"/>
    <n v="361452"/>
    <n v="40523"/>
    <n v="30945"/>
    <n v="71468"/>
    <n v="23054"/>
    <n v="18016"/>
    <n v="41070"/>
    <n v="263575"/>
    <n v="210415"/>
    <n v="473990"/>
    <n v="297306"/>
    <n v="238898"/>
    <n v="536204"/>
  </r>
  <r>
    <x v="14"/>
    <n v="132741"/>
    <n v="114224"/>
    <n v="246965"/>
    <n v="295461"/>
    <n v="244353"/>
    <n v="539814"/>
    <n v="147435"/>
    <n v="118002"/>
    <n v="265437"/>
    <n v="442896"/>
    <n v="362355"/>
    <n v="805251"/>
    <n v="74806"/>
    <n v="59635"/>
    <n v="134441"/>
    <n v="27366"/>
    <n v="21010"/>
    <n v="48376"/>
    <n v="545068"/>
    <n v="443000"/>
    <n v="988068"/>
    <n v="677809"/>
    <n v="557224"/>
    <n v="1235033"/>
  </r>
  <r>
    <x v="15"/>
    <n v="35131"/>
    <n v="26873"/>
    <n v="62004"/>
    <n v="188375"/>
    <n v="137348"/>
    <n v="325723"/>
    <n v="155333"/>
    <n v="114506"/>
    <n v="269839"/>
    <n v="343708"/>
    <n v="251854"/>
    <n v="595562"/>
    <n v="181921"/>
    <n v="151905"/>
    <n v="333826"/>
    <n v="169167"/>
    <n v="146928"/>
    <n v="316095"/>
    <n v="694796"/>
    <n v="550687"/>
    <n v="1245483"/>
    <n v="729927"/>
    <n v="577560"/>
    <n v="1307487"/>
  </r>
  <r>
    <x v="16"/>
    <n v="127688"/>
    <n v="110615"/>
    <n v="238303"/>
    <n v="1318518"/>
    <n v="1087963"/>
    <n v="2406481"/>
    <n v="665322"/>
    <n v="543463"/>
    <n v="1208785"/>
    <n v="1983840"/>
    <n v="1631426"/>
    <n v="3615266"/>
    <n v="375777"/>
    <n v="310929"/>
    <n v="686706"/>
    <n v="314949"/>
    <n v="297961"/>
    <n v="612910"/>
    <n v="2674566"/>
    <n v="2240316"/>
    <n v="4914882"/>
    <n v="2802254"/>
    <n v="2350931"/>
    <n v="5153185"/>
  </r>
  <r>
    <x v="17"/>
    <n v="97352"/>
    <n v="91777"/>
    <n v="189129"/>
    <n v="406191"/>
    <n v="373091"/>
    <n v="779282"/>
    <n v="183653"/>
    <n v="168795"/>
    <n v="352448"/>
    <n v="589844"/>
    <n v="541886"/>
    <n v="1131730"/>
    <n v="95902"/>
    <n v="92501"/>
    <n v="188403"/>
    <n v="58373"/>
    <n v="56586"/>
    <n v="114959"/>
    <n v="744119"/>
    <n v="690973"/>
    <n v="1435092"/>
    <n v="841471"/>
    <n v="782750"/>
    <n v="1624221"/>
  </r>
  <r>
    <x v="18"/>
    <n v="3249"/>
    <n v="2779"/>
    <n v="6028"/>
    <n v="6943"/>
    <n v="6202"/>
    <n v="13145"/>
    <n v="3455"/>
    <n v="3141"/>
    <n v="6596"/>
    <n v="10398"/>
    <n v="9343"/>
    <n v="19741"/>
    <n v="1588"/>
    <n v="1519"/>
    <n v="3107"/>
    <n v="388"/>
    <n v="494"/>
    <n v="882"/>
    <n v="12374"/>
    <n v="11356"/>
    <n v="23730"/>
    <n v="15623"/>
    <n v="14135"/>
    <n v="29758"/>
  </r>
  <r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n v="387886"/>
    <n v="324364"/>
    <n v="712250"/>
    <n v="1639135"/>
    <n v="1312743"/>
    <n v="2951878"/>
    <n v="919007"/>
    <n v="699888"/>
    <n v="1618895"/>
    <n v="2558142"/>
    <n v="2012631"/>
    <n v="4570773"/>
    <n v="399644"/>
    <n v="289275"/>
    <n v="688919"/>
    <n v="322007"/>
    <n v="229547"/>
    <n v="551554"/>
    <n v="3279793"/>
    <n v="2531453"/>
    <n v="5811246"/>
    <n v="3667679"/>
    <n v="2855817"/>
    <n v="6523496"/>
  </r>
  <r>
    <x v="21"/>
    <n v="178719"/>
    <n v="153547"/>
    <n v="332266"/>
    <n v="1701667"/>
    <n v="1356404"/>
    <n v="3058071"/>
    <n v="833071"/>
    <n v="620527"/>
    <n v="1453598"/>
    <n v="2534738"/>
    <n v="1976931"/>
    <n v="4511669"/>
    <n v="513065"/>
    <n v="379242"/>
    <n v="892307"/>
    <n v="373015"/>
    <n v="283148"/>
    <n v="656163"/>
    <n v="3420818"/>
    <n v="2639321"/>
    <n v="6060139"/>
    <n v="3599537"/>
    <n v="2792868"/>
    <n v="6392405"/>
  </r>
  <r>
    <x v="22"/>
    <n v="22457"/>
    <n v="20960"/>
    <n v="43417"/>
    <n v="85789"/>
    <n v="79866"/>
    <n v="165655"/>
    <n v="53460"/>
    <n v="50418"/>
    <n v="103878"/>
    <n v="139249"/>
    <n v="130284"/>
    <n v="269533"/>
    <n v="32990"/>
    <n v="32035"/>
    <n v="65025"/>
    <n v="26631"/>
    <n v="25560"/>
    <n v="52191"/>
    <n v="198870"/>
    <n v="187879"/>
    <n v="386749"/>
    <n v="221327"/>
    <n v="208839"/>
    <n v="430166"/>
  </r>
  <r>
    <x v="23"/>
    <n v="27773"/>
    <n v="27140"/>
    <n v="54913"/>
    <n v="60485"/>
    <n v="60224"/>
    <n v="120709"/>
    <n v="15854"/>
    <n v="16809"/>
    <n v="32663"/>
    <n v="76339"/>
    <n v="77033"/>
    <n v="153372"/>
    <n v="15276"/>
    <n v="18366"/>
    <n v="33642"/>
    <n v="10774"/>
    <n v="12966"/>
    <n v="23740"/>
    <n v="102389"/>
    <n v="108365"/>
    <n v="210754"/>
    <n v="130162"/>
    <n v="135505"/>
    <n v="265667"/>
  </r>
  <r>
    <x v="24"/>
    <n v="10327"/>
    <n v="10424"/>
    <n v="20751"/>
    <n v="31158"/>
    <n v="30664"/>
    <n v="61822"/>
    <n v="14738"/>
    <n v="14739"/>
    <n v="29477"/>
    <n v="45896"/>
    <n v="45403"/>
    <n v="91299"/>
    <n v="6431"/>
    <n v="6551"/>
    <n v="12982"/>
    <n v="6025"/>
    <n v="6155"/>
    <n v="12180"/>
    <n v="58352"/>
    <n v="58109"/>
    <n v="116461"/>
    <n v="68679"/>
    <n v="68533"/>
    <n v="137212"/>
  </r>
  <r>
    <x v="25"/>
    <n v="20553"/>
    <n v="18788"/>
    <n v="39341"/>
    <n v="57764"/>
    <n v="51979"/>
    <n v="109743"/>
    <n v="31799"/>
    <n v="29238"/>
    <n v="61037"/>
    <n v="89563"/>
    <n v="81217"/>
    <n v="170780"/>
    <n v="19863"/>
    <n v="19397"/>
    <n v="39260"/>
    <n v="11483"/>
    <n v="12627"/>
    <n v="24110"/>
    <n v="120909"/>
    <n v="113241"/>
    <n v="234150"/>
    <n v="141462"/>
    <n v="132029"/>
    <n v="273491"/>
  </r>
  <r>
    <x v="26"/>
    <n v="22092"/>
    <n v="18148"/>
    <n v="40240"/>
    <n v="376603"/>
    <n v="293400"/>
    <n v="670003"/>
    <n v="160413"/>
    <n v="119228"/>
    <n v="279641"/>
    <n v="537016"/>
    <n v="412628"/>
    <n v="949644"/>
    <n v="69405"/>
    <n v="53710"/>
    <n v="123115"/>
    <n v="124069"/>
    <n v="123983"/>
    <n v="248052"/>
    <n v="730490"/>
    <n v="590321"/>
    <n v="1320811"/>
    <n v="752582"/>
    <n v="608469"/>
    <n v="1361051"/>
  </r>
  <r>
    <x v="27"/>
    <n v="6353"/>
    <n v="5395"/>
    <n v="11748"/>
    <n v="28908"/>
    <n v="23702"/>
    <n v="52610"/>
    <n v="17179"/>
    <n v="14033"/>
    <n v="31212"/>
    <n v="46087"/>
    <n v="37735"/>
    <n v="83822"/>
    <n v="11383"/>
    <n v="8964"/>
    <n v="20347"/>
    <n v="9964"/>
    <n v="8099"/>
    <n v="18063"/>
    <n v="67434"/>
    <n v="54798"/>
    <n v="122232"/>
    <n v="73787"/>
    <n v="60193"/>
    <n v="133980"/>
  </r>
  <r>
    <x v="28"/>
    <n v="225078"/>
    <n v="182491"/>
    <n v="407569"/>
    <n v="652227"/>
    <n v="513345"/>
    <n v="1165572"/>
    <n v="347799"/>
    <n v="268340"/>
    <n v="616139"/>
    <n v="1000026"/>
    <n v="781685"/>
    <n v="1781711"/>
    <n v="215569"/>
    <n v="165008"/>
    <n v="380577"/>
    <n v="164146"/>
    <n v="130394"/>
    <n v="294540"/>
    <n v="1379741"/>
    <n v="1077087"/>
    <n v="2456828"/>
    <n v="1604819"/>
    <n v="1259578"/>
    <n v="2864397"/>
  </r>
  <r>
    <x v="29"/>
    <n v="272335"/>
    <n v="213704"/>
    <n v="486039"/>
    <n v="2043800"/>
    <n v="1521095"/>
    <n v="3564895"/>
    <n v="1043962"/>
    <n v="712407"/>
    <n v="1756369"/>
    <n v="3087762"/>
    <n v="2233502"/>
    <n v="5321264"/>
    <n v="578170"/>
    <n v="365255"/>
    <n v="943425"/>
    <n v="515921"/>
    <n v="318289"/>
    <n v="834210"/>
    <n v="4181853"/>
    <n v="2917046"/>
    <n v="7098899"/>
    <n v="4454188"/>
    <n v="3130750"/>
    <n v="7584938"/>
  </r>
  <r>
    <x v="30"/>
    <n v="6897"/>
    <n v="6228"/>
    <n v="13125"/>
    <n v="12200"/>
    <n v="10713"/>
    <n v="22913"/>
    <n v="3943"/>
    <n v="3167"/>
    <n v="7110"/>
    <n v="16143"/>
    <n v="13880"/>
    <n v="30023"/>
    <n v="1748"/>
    <n v="1391"/>
    <n v="3139"/>
    <n v="677"/>
    <n v="617"/>
    <n v="1294"/>
    <n v="18568"/>
    <n v="15888"/>
    <n v="34456"/>
    <n v="25465"/>
    <n v="22116"/>
    <n v="47581"/>
  </r>
  <r>
    <x v="31"/>
    <n v="291301"/>
    <n v="267477"/>
    <n v="558778"/>
    <n v="1264913"/>
    <n v="1098840"/>
    <n v="2363753"/>
    <n v="571593"/>
    <n v="467226"/>
    <n v="1038819"/>
    <n v="1836506"/>
    <n v="1566066"/>
    <n v="3402572"/>
    <n v="378268"/>
    <n v="302205"/>
    <n v="680473"/>
    <n v="317638"/>
    <n v="270486"/>
    <n v="588124"/>
    <n v="2532412"/>
    <n v="2138757"/>
    <n v="4671169"/>
    <n v="2823713"/>
    <n v="2406234"/>
    <n v="5229947"/>
  </r>
  <r>
    <x v="32"/>
    <n v="77567"/>
    <n v="66400"/>
    <n v="143967"/>
    <n v="835713"/>
    <n v="710712"/>
    <n v="1546425"/>
    <n v="462938"/>
    <n v="379440"/>
    <n v="842378"/>
    <n v="1298651"/>
    <n v="1090152"/>
    <n v="2388803"/>
    <n v="281920"/>
    <n v="230182"/>
    <n v="512102"/>
    <n v="251183"/>
    <n v="218283"/>
    <n v="469466"/>
    <n v="1831754"/>
    <n v="1538617"/>
    <n v="3370371"/>
    <n v="1909321"/>
    <n v="1605017"/>
    <n v="3514338"/>
  </r>
  <r>
    <x v="33"/>
    <n v="11275"/>
    <n v="9922"/>
    <n v="21197"/>
    <n v="32023"/>
    <n v="26607"/>
    <n v="58630"/>
    <n v="14851"/>
    <n v="12177"/>
    <n v="27028"/>
    <n v="46874"/>
    <n v="38784"/>
    <n v="85658"/>
    <n v="7955"/>
    <n v="6489"/>
    <n v="14444"/>
    <n v="4048"/>
    <n v="3685"/>
    <n v="7733"/>
    <n v="58877"/>
    <n v="48958"/>
    <n v="107835"/>
    <n v="70152"/>
    <n v="58880"/>
    <n v="129032"/>
  </r>
  <r>
    <x v="34"/>
    <n v="217519"/>
    <n v="169070"/>
    <n v="386589"/>
    <n v="4874764"/>
    <n v="3913110"/>
    <n v="8787874"/>
    <n v="2641873"/>
    <n v="2192422"/>
    <n v="4834295"/>
    <n v="7516637"/>
    <n v="6105532"/>
    <n v="13622169"/>
    <n v="2251866"/>
    <n v="1855152"/>
    <n v="4107018"/>
    <n v="1621512"/>
    <n v="1358160"/>
    <n v="2979672"/>
    <n v="11390015"/>
    <n v="9318844"/>
    <n v="20708859"/>
    <n v="11607534"/>
    <n v="9487914"/>
    <n v="21095448"/>
  </r>
  <r>
    <x v="35"/>
    <n v="51276"/>
    <n v="41495"/>
    <n v="92771"/>
    <n v="320665"/>
    <n v="254133"/>
    <n v="574798"/>
    <n v="169292"/>
    <n v="128175"/>
    <n v="297467"/>
    <n v="489957"/>
    <n v="382308"/>
    <n v="872265"/>
    <n v="89234"/>
    <n v="64062"/>
    <n v="153296"/>
    <n v="69889"/>
    <n v="50493"/>
    <n v="120382"/>
    <n v="649080"/>
    <n v="496863"/>
    <n v="1145943"/>
    <n v="700356"/>
    <n v="538358"/>
    <n v="1238714"/>
  </r>
  <r>
    <x v="36"/>
    <n v="203107"/>
    <n v="178357"/>
    <n v="381464"/>
    <n v="538900"/>
    <n v="459562"/>
    <n v="998462"/>
    <n v="183107"/>
    <n v="150598"/>
    <n v="333705"/>
    <n v="722007"/>
    <n v="610160"/>
    <n v="1332167"/>
    <n v="72652"/>
    <n v="58078"/>
    <n v="130730"/>
    <n v="49723"/>
    <n v="41943"/>
    <n v="91666"/>
    <n v="844382"/>
    <n v="710181"/>
    <n v="1554563"/>
    <n v="1047489"/>
    <n v="888538"/>
    <n v="193602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n v="722"/>
  </r>
  <r>
    <x v="1"/>
    <n v="344894"/>
  </r>
  <r>
    <x v="2"/>
    <n v="9078"/>
  </r>
  <r>
    <x v="3"/>
    <n v="117845"/>
  </r>
  <r>
    <x v="4"/>
    <n v="555639"/>
  </r>
  <r>
    <x v="5"/>
    <n v="8309"/>
  </r>
  <r>
    <x v="6"/>
    <n v="119152"/>
  </r>
  <r>
    <x v="7"/>
    <n v="5439"/>
  </r>
  <r>
    <x v="8"/>
    <n v="258430"/>
  </r>
  <r>
    <x v="9"/>
    <n v="2669"/>
  </r>
  <r>
    <x v="10"/>
    <n v="616366"/>
  </r>
  <r>
    <x v="11"/>
    <n v="552413"/>
  </r>
  <r>
    <x v="12"/>
    <n v="58408"/>
  </r>
  <r>
    <x v="13"/>
    <n v="120585"/>
  </r>
  <r>
    <x v="14"/>
    <n v="152367"/>
  </r>
  <r>
    <x v="15"/>
    <n v="451323"/>
  </r>
  <r>
    <x v="16"/>
    <n v="58721"/>
  </r>
  <r>
    <x v="17"/>
    <n v="1488"/>
  </r>
  <r>
    <x v="18"/>
    <n v="0"/>
  </r>
  <r>
    <x v="19"/>
    <n v="811862"/>
  </r>
  <r>
    <x v="20"/>
    <n v="806669"/>
  </r>
  <r>
    <x v="21"/>
    <n v="12488"/>
  </r>
  <r>
    <x v="22"/>
    <n v="-5343"/>
  </r>
  <r>
    <x v="23"/>
    <n v="146"/>
  </r>
  <r>
    <x v="24"/>
    <n v="9433"/>
  </r>
  <r>
    <x v="25"/>
    <n v="144113"/>
  </r>
  <r>
    <x v="26"/>
    <n v="13594"/>
  </r>
  <r>
    <x v="27"/>
    <n v="345241"/>
  </r>
  <r>
    <x v="28"/>
    <n v="1323438"/>
  </r>
  <r>
    <x v="29"/>
    <n v="3349"/>
  </r>
  <r>
    <x v="30"/>
    <n v="417479"/>
  </r>
  <r>
    <x v="31"/>
    <n v="304304"/>
  </r>
  <r>
    <x v="32"/>
    <n v="11272"/>
  </r>
  <r>
    <x v="33"/>
    <n v="2119620"/>
  </r>
  <r>
    <x v="34"/>
    <n v="161998"/>
  </r>
  <r>
    <x v="35"/>
    <n v="15895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n v="0.93291209812302545"/>
  </r>
  <r>
    <x v="1"/>
    <n v="0.81187699192131535"/>
  </r>
  <r>
    <x v="2"/>
    <n v="0.82545328693110809"/>
  </r>
  <r>
    <x v="3"/>
    <n v="0.86240936846898386"/>
  </r>
  <r>
    <x v="4"/>
    <n v="0.71224548770862806"/>
  </r>
  <r>
    <x v="5"/>
    <n v="0.82837608956087083"/>
  </r>
  <r>
    <x v="6"/>
    <n v="0.86481138583306105"/>
  </r>
  <r>
    <x v="7"/>
    <n v="0.73247749741773649"/>
  </r>
  <r>
    <x v="8"/>
    <n v="0.72550548288007344"/>
  </r>
  <r>
    <x v="9"/>
    <n v="0.87224163515389397"/>
  </r>
  <r>
    <x v="10"/>
    <n v="0.74168118497929858"/>
  </r>
  <r>
    <x v="11"/>
    <n v="0.71335087227705307"/>
  </r>
  <r>
    <x v="12"/>
    <n v="0.80354247812018598"/>
  </r>
  <r>
    <x v="13"/>
    <n v="0.82209590017246748"/>
  </r>
  <r>
    <x v="14"/>
    <n v="0.79125720791257204"/>
  </r>
  <r>
    <x v="15"/>
    <n v="0.83894286527916451"/>
  </r>
  <r>
    <x v="16"/>
    <n v="0.93021625225349414"/>
  </r>
  <r>
    <x v="17"/>
    <n v="0.90475580874351913"/>
  </r>
  <r>
    <x v="18"/>
    <n v="0.77864420523170108"/>
  </r>
  <r>
    <x v="19"/>
    <n v="0.77589645557192499"/>
  </r>
  <r>
    <x v="20"/>
    <n v="0.94357669873083716"/>
  </r>
  <r>
    <x v="21"/>
    <n v="1.041048846821653"/>
  </r>
  <r>
    <x v="22"/>
    <n v="0.99787416823191954"/>
  </r>
  <r>
    <x v="23"/>
    <n v="0.93331778145367661"/>
  </r>
  <r>
    <x v="24"/>
    <n v="0.80850857448092039"/>
  </r>
  <r>
    <x v="25"/>
    <n v="0.81576700502798594"/>
  </r>
  <r>
    <x v="26"/>
    <n v="0.78487231270317714"/>
  </r>
  <r>
    <x v="27"/>
    <n v="0.70287783093124945"/>
  </r>
  <r>
    <x v="28"/>
    <n v="0.86848615747103863"/>
  </r>
  <r>
    <x v="29"/>
    <n v="0.85215246733644667"/>
  </r>
  <r>
    <x v="30"/>
    <n v="0.84062187552538314"/>
  </r>
  <r>
    <x v="31"/>
    <n v="0.83932033299121911"/>
  </r>
  <r>
    <x v="32"/>
    <n v="0.81739273819917302"/>
  </r>
  <r>
    <x v="33"/>
    <n v="0.76869192239375406"/>
  </r>
  <r>
    <x v="34"/>
    <n v="0.848255208407916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30CA7A-A9F3-486F-8AC8-7F110B53167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40" firstHeaderRow="1" firstDataRow="1" firstDataCol="1"/>
  <pivotFields count="25">
    <pivotField axis="axisRow" showAll="0" sortType="descending">
      <items count="38"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h="1" x="0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37">
    <i>
      <x v="2"/>
    </i>
    <i>
      <x v="7"/>
    </i>
    <i>
      <x v="16"/>
    </i>
    <i>
      <x v="15"/>
    </i>
    <i>
      <x v="5"/>
    </i>
    <i>
      <x v="20"/>
    </i>
    <i>
      <x v="26"/>
    </i>
    <i>
      <x v="4"/>
    </i>
    <i>
      <x v="35"/>
    </i>
    <i>
      <x v="32"/>
    </i>
    <i>
      <x v="25"/>
    </i>
    <i>
      <x v="8"/>
    </i>
    <i>
      <x/>
    </i>
    <i>
      <x v="30"/>
    </i>
    <i>
      <x v="28"/>
    </i>
    <i>
      <x v="19"/>
    </i>
    <i>
      <x v="33"/>
    </i>
    <i>
      <x v="10"/>
    </i>
    <i>
      <x v="21"/>
    </i>
    <i>
      <x v="1"/>
    </i>
    <i>
      <x v="22"/>
    </i>
    <i>
      <x v="24"/>
    </i>
    <i>
      <x v="14"/>
    </i>
    <i>
      <x v="11"/>
    </i>
    <i>
      <x v="13"/>
    </i>
    <i>
      <x v="12"/>
    </i>
    <i>
      <x v="9"/>
    </i>
    <i>
      <x v="3"/>
    </i>
    <i>
      <x v="34"/>
    </i>
    <i>
      <x v="31"/>
    </i>
    <i>
      <x v="6"/>
    </i>
    <i>
      <x v="27"/>
    </i>
    <i>
      <x v="29"/>
    </i>
    <i>
      <x v="18"/>
    </i>
    <i>
      <x v="36"/>
    </i>
    <i>
      <x v="17"/>
    </i>
    <i t="grand">
      <x/>
    </i>
  </rowItems>
  <colItems count="1">
    <i/>
  </colItems>
  <dataFields count="1">
    <dataField name="Sum of Total (Pre-Pri to H Sec) - Total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2836F-D698-43F9-8A54-5EAAAA6D13A9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9" firstHeaderRow="1" firstDataRow="1" firstDataCol="1"/>
  <pivotFields count="2">
    <pivotField axis="axisRow" showAll="0" sortType="ascending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36">
    <i>
      <x v="27"/>
    </i>
    <i>
      <x v="4"/>
    </i>
    <i>
      <x v="11"/>
    </i>
    <i>
      <x v="8"/>
    </i>
    <i>
      <x v="7"/>
    </i>
    <i>
      <x v="10"/>
    </i>
    <i>
      <x v="33"/>
    </i>
    <i>
      <x v="19"/>
    </i>
    <i>
      <x v="18"/>
    </i>
    <i>
      <x v="26"/>
    </i>
    <i>
      <x v="14"/>
    </i>
    <i>
      <x v="12"/>
    </i>
    <i>
      <x v="24"/>
    </i>
    <i>
      <x v="1"/>
    </i>
    <i>
      <x v="25"/>
    </i>
    <i>
      <x v="32"/>
    </i>
    <i>
      <x v="13"/>
    </i>
    <i>
      <x v="2"/>
    </i>
    <i>
      <x v="5"/>
    </i>
    <i>
      <x v="15"/>
    </i>
    <i>
      <x v="31"/>
    </i>
    <i>
      <x v="30"/>
    </i>
    <i>
      <x v="34"/>
    </i>
    <i>
      <x v="29"/>
    </i>
    <i>
      <x v="3"/>
    </i>
    <i>
      <x v="6"/>
    </i>
    <i>
      <x v="28"/>
    </i>
    <i>
      <x v="9"/>
    </i>
    <i>
      <x v="17"/>
    </i>
    <i>
      <x v="16"/>
    </i>
    <i>
      <x/>
    </i>
    <i>
      <x v="23"/>
    </i>
    <i>
      <x v="20"/>
    </i>
    <i>
      <x v="22"/>
    </i>
    <i>
      <x v="21"/>
    </i>
    <i t="grand">
      <x/>
    </i>
  </rowItems>
  <colItems count="1">
    <i/>
  </colItems>
  <dataFields count="1">
    <dataField name="Sum of GPI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3B2435-A815-43A2-8C4C-A89134570CE4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40" firstHeaderRow="1" firstDataRow="1" firstDataCol="1"/>
  <pivotFields count="2">
    <pivotField axis="axisRow" showAll="0" sortType="descending">
      <items count="37"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37">
    <i>
      <x v="2"/>
    </i>
    <i>
      <x v="7"/>
    </i>
    <i>
      <x v="16"/>
    </i>
    <i>
      <x v="15"/>
    </i>
    <i>
      <x v="25"/>
    </i>
    <i>
      <x v="31"/>
    </i>
    <i>
      <x v="24"/>
    </i>
    <i>
      <x v="20"/>
    </i>
    <i>
      <x v="5"/>
    </i>
    <i>
      <x v="8"/>
    </i>
    <i>
      <x v="34"/>
    </i>
    <i>
      <x v="4"/>
    </i>
    <i>
      <x v="27"/>
    </i>
    <i>
      <x v="1"/>
    </i>
    <i>
      <x/>
    </i>
    <i>
      <x v="21"/>
    </i>
    <i>
      <x v="10"/>
    </i>
    <i>
      <x v="22"/>
    </i>
    <i>
      <x v="29"/>
    </i>
    <i>
      <x v="32"/>
    </i>
    <i>
      <x v="19"/>
    </i>
    <i>
      <x v="23"/>
    </i>
    <i>
      <x v="9"/>
    </i>
    <i>
      <x v="14"/>
    </i>
    <i>
      <x v="3"/>
    </i>
    <i>
      <x v="11"/>
    </i>
    <i>
      <x v="33"/>
    </i>
    <i>
      <x v="30"/>
    </i>
    <i>
      <x v="28"/>
    </i>
    <i>
      <x v="6"/>
    </i>
    <i>
      <x v="26"/>
    </i>
    <i>
      <x v="18"/>
    </i>
    <i>
      <x v="35"/>
    </i>
    <i>
      <x v="12"/>
    </i>
    <i>
      <x v="17"/>
    </i>
    <i>
      <x v="13"/>
    </i>
    <i t="grand">
      <x/>
    </i>
  </rowItems>
  <colItems count="1">
    <i/>
  </colItems>
  <dataFields count="1">
    <dataField name="Sum of gender pari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8960A9-17F2-40D3-9704-8CC7214E572B}" name="PivotTable3" cacheId="0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5" firstHeaderRow="0" firstDataRow="1" firstDataCol="1"/>
  <pivotFields count="25">
    <pivotField axis="axisRow" showAll="0">
      <items count="38"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0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">
    <i>
      <x v="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Pri (1 to 5) - Total" fld="6" baseField="0" baseItem="0"/>
    <dataField name="Sum of  UppPri (6-8) - Total" fld="9" baseField="0" baseItem="0"/>
    <dataField name="Sum of  Sec (9-10) - Total" fld="15" baseField="0" baseItem="0"/>
    <dataField name="Sum of  H Sec (11-12) - Total" fld="1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F8854-2EFC-4BF2-AE8F-2A80A030F58C}">
  <dimension ref="A1:Y38"/>
  <sheetViews>
    <sheetView topLeftCell="S12" workbookViewId="0">
      <selection activeCell="X3" sqref="X3:X38"/>
    </sheetView>
  </sheetViews>
  <sheetFormatPr defaultRowHeight="14.4" x14ac:dyDescent="0.3"/>
  <cols>
    <col min="1" max="1" width="36.21875" bestFit="1" customWidth="1"/>
    <col min="2" max="2" width="12" bestFit="1" customWidth="1"/>
    <col min="3" max="3" width="11.6640625" bestFit="1" customWidth="1"/>
    <col min="4" max="4" width="12.109375" bestFit="1" customWidth="1"/>
    <col min="5" max="5" width="14.44140625" bestFit="1" customWidth="1"/>
    <col min="6" max="6" width="14.109375" bestFit="1" customWidth="1"/>
    <col min="7" max="7" width="14.21875" bestFit="1" customWidth="1"/>
    <col min="8" max="8" width="15.44140625" bestFit="1" customWidth="1"/>
    <col min="9" max="9" width="16.109375" bestFit="1" customWidth="1"/>
    <col min="10" max="10" width="16.21875" bestFit="1" customWidth="1"/>
    <col min="11" max="12" width="13.109375" bestFit="1" customWidth="1"/>
    <col min="13" max="13" width="13.21875" bestFit="1" customWidth="1"/>
    <col min="14" max="14" width="14.6640625" bestFit="1" customWidth="1"/>
    <col min="15" max="15" width="14.33203125" bestFit="1" customWidth="1"/>
    <col min="16" max="16" width="14.77734375" bestFit="1" customWidth="1"/>
    <col min="17" max="17" width="17.44140625" bestFit="1" customWidth="1"/>
    <col min="18" max="18" width="17" bestFit="1" customWidth="1"/>
    <col min="19" max="19" width="17.5546875" bestFit="1" customWidth="1"/>
    <col min="20" max="21" width="20.5546875" bestFit="1" customWidth="1"/>
    <col min="22" max="22" width="20.6640625" bestFit="1" customWidth="1"/>
    <col min="23" max="24" width="24.33203125" bestFit="1" customWidth="1"/>
    <col min="25" max="25" width="24.44140625" bestFit="1" customWidth="1"/>
  </cols>
  <sheetData>
    <row r="1" spans="1:25" x14ac:dyDescent="0.3">
      <c r="A1" s="1" t="s">
        <v>37</v>
      </c>
      <c r="B1" s="1" t="s">
        <v>39</v>
      </c>
      <c r="C1" s="1" t="s">
        <v>38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</row>
    <row r="2" spans="1:25" x14ac:dyDescent="0.3">
      <c r="A2" t="s">
        <v>0</v>
      </c>
      <c r="B2">
        <v>3165922</v>
      </c>
      <c r="C2">
        <v>2655069</v>
      </c>
      <c r="D2">
        <v>5820991</v>
      </c>
      <c r="E2">
        <v>21642902</v>
      </c>
      <c r="F2">
        <v>17293492</v>
      </c>
      <c r="G2">
        <v>38936394</v>
      </c>
      <c r="H2">
        <v>11253354</v>
      </c>
      <c r="I2">
        <v>8759875</v>
      </c>
      <c r="J2">
        <v>20013229</v>
      </c>
      <c r="K2">
        <v>32896256</v>
      </c>
      <c r="L2">
        <v>26053367</v>
      </c>
      <c r="M2">
        <v>58949623</v>
      </c>
      <c r="N2">
        <v>7229787</v>
      </c>
      <c r="O2">
        <v>5617494</v>
      </c>
      <c r="P2">
        <v>12847281</v>
      </c>
      <c r="Q2">
        <v>5879924</v>
      </c>
      <c r="R2">
        <v>4773497</v>
      </c>
      <c r="S2">
        <v>10653421</v>
      </c>
      <c r="T2">
        <v>46005967</v>
      </c>
      <c r="U2">
        <v>36444358</v>
      </c>
      <c r="V2">
        <v>82450325</v>
      </c>
      <c r="W2">
        <v>49171889</v>
      </c>
      <c r="X2">
        <v>39099427</v>
      </c>
      <c r="Y2">
        <v>88271316</v>
      </c>
    </row>
    <row r="3" spans="1:25" x14ac:dyDescent="0.3">
      <c r="A3" t="s">
        <v>1</v>
      </c>
      <c r="B3">
        <v>1508</v>
      </c>
      <c r="C3">
        <v>1468</v>
      </c>
      <c r="D3">
        <v>2976</v>
      </c>
      <c r="E3">
        <v>5144</v>
      </c>
      <c r="F3">
        <v>4656</v>
      </c>
      <c r="G3">
        <v>9800</v>
      </c>
      <c r="H3">
        <v>2361</v>
      </c>
      <c r="I3">
        <v>2162</v>
      </c>
      <c r="J3">
        <v>4523</v>
      </c>
      <c r="K3">
        <v>7505</v>
      </c>
      <c r="L3">
        <v>6818</v>
      </c>
      <c r="M3">
        <v>14323</v>
      </c>
      <c r="N3">
        <v>1071</v>
      </c>
      <c r="O3">
        <v>1091</v>
      </c>
      <c r="P3">
        <v>2162</v>
      </c>
      <c r="Q3">
        <v>678</v>
      </c>
      <c r="R3">
        <v>663</v>
      </c>
      <c r="S3">
        <v>1341</v>
      </c>
      <c r="T3">
        <v>9254</v>
      </c>
      <c r="U3">
        <v>8572</v>
      </c>
      <c r="V3">
        <v>17826</v>
      </c>
      <c r="W3">
        <v>10762</v>
      </c>
      <c r="X3">
        <v>10040</v>
      </c>
      <c r="Y3">
        <v>20802</v>
      </c>
    </row>
    <row r="4" spans="1:25" x14ac:dyDescent="0.3">
      <c r="A4" t="s">
        <v>2</v>
      </c>
      <c r="B4">
        <v>39414</v>
      </c>
      <c r="C4">
        <v>32953</v>
      </c>
      <c r="D4">
        <v>72367</v>
      </c>
      <c r="E4">
        <v>789604</v>
      </c>
      <c r="F4">
        <v>634492</v>
      </c>
      <c r="G4">
        <v>1424096</v>
      </c>
      <c r="H4">
        <v>418029</v>
      </c>
      <c r="I4">
        <v>316656</v>
      </c>
      <c r="J4">
        <v>734685</v>
      </c>
      <c r="K4">
        <v>1207633</v>
      </c>
      <c r="L4">
        <v>951148</v>
      </c>
      <c r="M4">
        <v>2158781</v>
      </c>
      <c r="N4">
        <v>266457</v>
      </c>
      <c r="O4">
        <v>205300</v>
      </c>
      <c r="P4">
        <v>471757</v>
      </c>
      <c r="Q4">
        <v>319839</v>
      </c>
      <c r="R4">
        <v>299048</v>
      </c>
      <c r="S4">
        <v>618887</v>
      </c>
      <c r="T4">
        <v>1793929</v>
      </c>
      <c r="U4">
        <v>1455496</v>
      </c>
      <c r="V4">
        <v>3249425</v>
      </c>
      <c r="W4">
        <v>1833343</v>
      </c>
      <c r="X4">
        <v>1488449</v>
      </c>
      <c r="Y4">
        <v>3321792</v>
      </c>
    </row>
    <row r="5" spans="1:25" x14ac:dyDescent="0.3">
      <c r="A5" t="s">
        <v>3</v>
      </c>
      <c r="B5">
        <v>8480</v>
      </c>
      <c r="C5">
        <v>7359</v>
      </c>
      <c r="D5">
        <v>15839</v>
      </c>
      <c r="E5">
        <v>27338</v>
      </c>
      <c r="F5">
        <v>22606</v>
      </c>
      <c r="G5">
        <v>49944</v>
      </c>
      <c r="H5">
        <v>10706</v>
      </c>
      <c r="I5">
        <v>8105</v>
      </c>
      <c r="J5">
        <v>18811</v>
      </c>
      <c r="K5">
        <v>38044</v>
      </c>
      <c r="L5">
        <v>30711</v>
      </c>
      <c r="M5">
        <v>68755</v>
      </c>
      <c r="N5">
        <v>3884</v>
      </c>
      <c r="O5">
        <v>3226</v>
      </c>
      <c r="P5">
        <v>7110</v>
      </c>
      <c r="Q5">
        <v>1601</v>
      </c>
      <c r="R5">
        <v>1635</v>
      </c>
      <c r="S5">
        <v>3236</v>
      </c>
      <c r="T5">
        <v>43529</v>
      </c>
      <c r="U5">
        <v>35572</v>
      </c>
      <c r="V5">
        <v>79101</v>
      </c>
      <c r="W5">
        <v>52009</v>
      </c>
      <c r="X5">
        <v>42931</v>
      </c>
      <c r="Y5">
        <v>94940</v>
      </c>
    </row>
    <row r="6" spans="1:25" x14ac:dyDescent="0.3">
      <c r="A6" t="s">
        <v>4</v>
      </c>
      <c r="B6">
        <v>107652</v>
      </c>
      <c r="C6">
        <v>91207</v>
      </c>
      <c r="D6">
        <v>198859</v>
      </c>
      <c r="E6">
        <v>391625</v>
      </c>
      <c r="F6">
        <v>328619</v>
      </c>
      <c r="G6">
        <v>720244</v>
      </c>
      <c r="H6">
        <v>187184</v>
      </c>
      <c r="I6">
        <v>160754</v>
      </c>
      <c r="J6">
        <v>347938</v>
      </c>
      <c r="K6">
        <v>578809</v>
      </c>
      <c r="L6">
        <v>489373</v>
      </c>
      <c r="M6">
        <v>1068182</v>
      </c>
      <c r="N6">
        <v>103964</v>
      </c>
      <c r="O6">
        <v>91565</v>
      </c>
      <c r="P6">
        <v>195529</v>
      </c>
      <c r="Q6">
        <v>66065</v>
      </c>
      <c r="R6">
        <v>66500</v>
      </c>
      <c r="S6">
        <v>132565</v>
      </c>
      <c r="T6">
        <v>748838</v>
      </c>
      <c r="U6">
        <v>647438</v>
      </c>
      <c r="V6">
        <v>1396276</v>
      </c>
      <c r="W6">
        <v>856490</v>
      </c>
      <c r="X6">
        <v>738645</v>
      </c>
      <c r="Y6">
        <v>1595135</v>
      </c>
    </row>
    <row r="7" spans="1:25" x14ac:dyDescent="0.3">
      <c r="A7" t="s">
        <v>5</v>
      </c>
      <c r="B7">
        <v>137757</v>
      </c>
      <c r="C7">
        <v>93981</v>
      </c>
      <c r="D7">
        <v>231738</v>
      </c>
      <c r="E7">
        <v>776343</v>
      </c>
      <c r="F7">
        <v>520403</v>
      </c>
      <c r="G7">
        <v>1296746</v>
      </c>
      <c r="H7">
        <v>396671</v>
      </c>
      <c r="I7">
        <v>265754</v>
      </c>
      <c r="J7">
        <v>662425</v>
      </c>
      <c r="K7">
        <v>1173014</v>
      </c>
      <c r="L7">
        <v>786157</v>
      </c>
      <c r="M7">
        <v>1959171</v>
      </c>
      <c r="N7">
        <v>286714</v>
      </c>
      <c r="O7">
        <v>220909</v>
      </c>
      <c r="P7">
        <v>507623</v>
      </c>
      <c r="Q7">
        <v>333463</v>
      </c>
      <c r="R7">
        <v>274262</v>
      </c>
      <c r="S7">
        <v>607725</v>
      </c>
      <c r="T7">
        <v>1793191</v>
      </c>
      <c r="U7">
        <v>1281328</v>
      </c>
      <c r="V7">
        <v>3074519</v>
      </c>
      <c r="W7">
        <v>1930948</v>
      </c>
      <c r="X7">
        <v>1375309</v>
      </c>
      <c r="Y7">
        <v>3306257</v>
      </c>
    </row>
    <row r="8" spans="1:25" x14ac:dyDescent="0.3">
      <c r="A8" t="s">
        <v>6</v>
      </c>
      <c r="B8">
        <v>6297</v>
      </c>
      <c r="C8">
        <v>5653</v>
      </c>
      <c r="D8">
        <v>11950</v>
      </c>
      <c r="E8">
        <v>17812</v>
      </c>
      <c r="F8">
        <v>14953</v>
      </c>
      <c r="G8">
        <v>32765</v>
      </c>
      <c r="H8">
        <v>10801</v>
      </c>
      <c r="I8">
        <v>8815</v>
      </c>
      <c r="J8">
        <v>19616</v>
      </c>
      <c r="K8">
        <v>28613</v>
      </c>
      <c r="L8">
        <v>23768</v>
      </c>
      <c r="M8">
        <v>52381</v>
      </c>
      <c r="N8">
        <v>7496</v>
      </c>
      <c r="O8">
        <v>5797</v>
      </c>
      <c r="P8">
        <v>13293</v>
      </c>
      <c r="Q8">
        <v>6008</v>
      </c>
      <c r="R8">
        <v>4887</v>
      </c>
      <c r="S8">
        <v>10895</v>
      </c>
      <c r="T8">
        <v>42117</v>
      </c>
      <c r="U8">
        <v>34452</v>
      </c>
      <c r="V8">
        <v>76569</v>
      </c>
      <c r="W8">
        <v>48414</v>
      </c>
      <c r="X8">
        <v>40105</v>
      </c>
      <c r="Y8">
        <v>88519</v>
      </c>
    </row>
    <row r="9" spans="1:25" x14ac:dyDescent="0.3">
      <c r="A9" t="s">
        <v>7</v>
      </c>
      <c r="B9">
        <v>118510</v>
      </c>
      <c r="C9">
        <v>105709</v>
      </c>
      <c r="D9">
        <v>224219</v>
      </c>
      <c r="E9">
        <v>403938</v>
      </c>
      <c r="F9">
        <v>352959</v>
      </c>
      <c r="G9">
        <v>756897</v>
      </c>
      <c r="H9">
        <v>184860</v>
      </c>
      <c r="I9">
        <v>156226</v>
      </c>
      <c r="J9">
        <v>341086</v>
      </c>
      <c r="K9">
        <v>588798</v>
      </c>
      <c r="L9">
        <v>509185</v>
      </c>
      <c r="M9">
        <v>1097983</v>
      </c>
      <c r="N9">
        <v>94175</v>
      </c>
      <c r="O9">
        <v>78880</v>
      </c>
      <c r="P9">
        <v>173055</v>
      </c>
      <c r="Q9">
        <v>79893</v>
      </c>
      <c r="R9">
        <v>68450</v>
      </c>
      <c r="S9">
        <v>148343</v>
      </c>
      <c r="T9">
        <v>762866</v>
      </c>
      <c r="U9">
        <v>656515</v>
      </c>
      <c r="V9">
        <v>1419381</v>
      </c>
      <c r="W9">
        <v>881376</v>
      </c>
      <c r="X9">
        <v>762224</v>
      </c>
      <c r="Y9">
        <v>1643600</v>
      </c>
    </row>
    <row r="10" spans="1:25" x14ac:dyDescent="0.3">
      <c r="A10" t="s">
        <v>8</v>
      </c>
      <c r="B10">
        <v>1779</v>
      </c>
      <c r="C10">
        <v>1413</v>
      </c>
      <c r="D10">
        <v>3192</v>
      </c>
      <c r="E10">
        <v>9471</v>
      </c>
      <c r="F10">
        <v>7096</v>
      </c>
      <c r="G10">
        <v>16567</v>
      </c>
      <c r="H10">
        <v>4710</v>
      </c>
      <c r="I10">
        <v>3341</v>
      </c>
      <c r="J10">
        <v>8051</v>
      </c>
      <c r="K10">
        <v>14181</v>
      </c>
      <c r="L10">
        <v>10437</v>
      </c>
      <c r="M10">
        <v>24618</v>
      </c>
      <c r="N10">
        <v>2769</v>
      </c>
      <c r="O10">
        <v>1872</v>
      </c>
      <c r="P10">
        <v>4641</v>
      </c>
      <c r="Q10">
        <v>1602</v>
      </c>
      <c r="R10">
        <v>1170</v>
      </c>
      <c r="S10">
        <v>2772</v>
      </c>
      <c r="T10">
        <v>18552</v>
      </c>
      <c r="U10">
        <v>13479</v>
      </c>
      <c r="V10">
        <v>32031</v>
      </c>
      <c r="W10">
        <v>20331</v>
      </c>
      <c r="X10">
        <v>14892</v>
      </c>
      <c r="Y10">
        <v>35223</v>
      </c>
    </row>
    <row r="11" spans="1:25" x14ac:dyDescent="0.3">
      <c r="A11" t="s">
        <v>9</v>
      </c>
      <c r="B11">
        <v>70194</v>
      </c>
      <c r="C11">
        <v>58640</v>
      </c>
      <c r="D11">
        <v>128834</v>
      </c>
      <c r="E11">
        <v>417578</v>
      </c>
      <c r="F11">
        <v>312993</v>
      </c>
      <c r="G11">
        <v>730571</v>
      </c>
      <c r="H11">
        <v>225324</v>
      </c>
      <c r="I11">
        <v>155120</v>
      </c>
      <c r="J11">
        <v>380444</v>
      </c>
      <c r="K11">
        <v>642902</v>
      </c>
      <c r="L11">
        <v>468113</v>
      </c>
      <c r="M11">
        <v>1111015</v>
      </c>
      <c r="N11">
        <v>121935</v>
      </c>
      <c r="O11">
        <v>82184</v>
      </c>
      <c r="P11">
        <v>204119</v>
      </c>
      <c r="Q11">
        <v>106445</v>
      </c>
      <c r="R11">
        <v>74109</v>
      </c>
      <c r="S11">
        <v>180554</v>
      </c>
      <c r="T11">
        <v>871282</v>
      </c>
      <c r="U11">
        <v>624406</v>
      </c>
      <c r="V11">
        <v>1495688</v>
      </c>
      <c r="W11">
        <v>941476</v>
      </c>
      <c r="X11">
        <v>683046</v>
      </c>
      <c r="Y11">
        <v>1624522</v>
      </c>
    </row>
    <row r="12" spans="1:25" x14ac:dyDescent="0.3">
      <c r="A12" t="s">
        <v>10</v>
      </c>
      <c r="B12">
        <v>3652</v>
      </c>
      <c r="C12">
        <v>3223</v>
      </c>
      <c r="D12">
        <v>6875</v>
      </c>
      <c r="E12">
        <v>12978</v>
      </c>
      <c r="F12">
        <v>11108</v>
      </c>
      <c r="G12">
        <v>24086</v>
      </c>
      <c r="H12">
        <v>2215</v>
      </c>
      <c r="I12">
        <v>2071</v>
      </c>
      <c r="J12">
        <v>4286</v>
      </c>
      <c r="K12">
        <v>15193</v>
      </c>
      <c r="L12">
        <v>13179</v>
      </c>
      <c r="M12">
        <v>28372</v>
      </c>
      <c r="N12">
        <v>1180</v>
      </c>
      <c r="O12">
        <v>1120</v>
      </c>
      <c r="P12">
        <v>2300</v>
      </c>
      <c r="Q12">
        <v>866</v>
      </c>
      <c r="R12">
        <v>700</v>
      </c>
      <c r="S12">
        <v>1566</v>
      </c>
      <c r="T12">
        <v>17239</v>
      </c>
      <c r="U12">
        <v>14999</v>
      </c>
      <c r="V12">
        <v>32238</v>
      </c>
      <c r="W12">
        <v>20891</v>
      </c>
      <c r="X12">
        <v>18222</v>
      </c>
      <c r="Y12">
        <v>39113</v>
      </c>
    </row>
    <row r="13" spans="1:25" x14ac:dyDescent="0.3">
      <c r="A13" t="s">
        <v>11</v>
      </c>
      <c r="B13">
        <v>87635</v>
      </c>
      <c r="C13">
        <v>70156</v>
      </c>
      <c r="D13">
        <v>157791</v>
      </c>
      <c r="E13">
        <v>1107303</v>
      </c>
      <c r="F13">
        <v>848011</v>
      </c>
      <c r="G13">
        <v>1955314</v>
      </c>
      <c r="H13">
        <v>621885</v>
      </c>
      <c r="I13">
        <v>463917</v>
      </c>
      <c r="J13">
        <v>1085802</v>
      </c>
      <c r="K13">
        <v>1729188</v>
      </c>
      <c r="L13">
        <v>1311928</v>
      </c>
      <c r="M13">
        <v>3041116</v>
      </c>
      <c r="N13">
        <v>313106</v>
      </c>
      <c r="O13">
        <v>211188</v>
      </c>
      <c r="P13">
        <v>524294</v>
      </c>
      <c r="Q13">
        <v>256138</v>
      </c>
      <c r="R13">
        <v>176429</v>
      </c>
      <c r="S13">
        <v>432567</v>
      </c>
      <c r="T13">
        <v>2298432</v>
      </c>
      <c r="U13">
        <v>1699545</v>
      </c>
      <c r="V13">
        <v>3997977</v>
      </c>
      <c r="W13">
        <v>2386067</v>
      </c>
      <c r="X13">
        <v>1769701</v>
      </c>
      <c r="Y13">
        <v>4155768</v>
      </c>
    </row>
    <row r="14" spans="1:25" x14ac:dyDescent="0.3">
      <c r="A14" t="s">
        <v>12</v>
      </c>
      <c r="B14">
        <v>120637</v>
      </c>
      <c r="C14">
        <v>94646</v>
      </c>
      <c r="D14">
        <v>215283</v>
      </c>
      <c r="E14">
        <v>780210</v>
      </c>
      <c r="F14">
        <v>562248</v>
      </c>
      <c r="G14">
        <v>1342458</v>
      </c>
      <c r="H14">
        <v>479889</v>
      </c>
      <c r="I14">
        <v>336053</v>
      </c>
      <c r="J14">
        <v>815942</v>
      </c>
      <c r="K14">
        <v>1260099</v>
      </c>
      <c r="L14">
        <v>898301</v>
      </c>
      <c r="M14">
        <v>2158400</v>
      </c>
      <c r="N14">
        <v>311080</v>
      </c>
      <c r="O14">
        <v>211566</v>
      </c>
      <c r="P14">
        <v>522646</v>
      </c>
      <c r="Q14">
        <v>235324</v>
      </c>
      <c r="R14">
        <v>170214</v>
      </c>
      <c r="S14">
        <v>405538</v>
      </c>
      <c r="T14">
        <v>1806503</v>
      </c>
      <c r="U14">
        <v>1280081</v>
      </c>
      <c r="V14">
        <v>3086584</v>
      </c>
      <c r="W14">
        <v>1927140</v>
      </c>
      <c r="X14">
        <v>1374727</v>
      </c>
      <c r="Y14">
        <v>3301867</v>
      </c>
    </row>
    <row r="15" spans="1:25" x14ac:dyDescent="0.3">
      <c r="A15" t="s">
        <v>13</v>
      </c>
      <c r="B15">
        <v>33731</v>
      </c>
      <c r="C15">
        <v>28483</v>
      </c>
      <c r="D15">
        <v>62214</v>
      </c>
      <c r="E15">
        <v>131356</v>
      </c>
      <c r="F15">
        <v>107292</v>
      </c>
      <c r="G15">
        <v>238648</v>
      </c>
      <c r="H15">
        <v>68642</v>
      </c>
      <c r="I15">
        <v>54162</v>
      </c>
      <c r="J15">
        <v>122804</v>
      </c>
      <c r="K15">
        <v>199998</v>
      </c>
      <c r="L15">
        <v>161454</v>
      </c>
      <c r="M15">
        <v>361452</v>
      </c>
      <c r="N15">
        <v>40523</v>
      </c>
      <c r="O15">
        <v>30945</v>
      </c>
      <c r="P15">
        <v>71468</v>
      </c>
      <c r="Q15">
        <v>23054</v>
      </c>
      <c r="R15">
        <v>18016</v>
      </c>
      <c r="S15">
        <v>41070</v>
      </c>
      <c r="T15">
        <v>263575</v>
      </c>
      <c r="U15">
        <v>210415</v>
      </c>
      <c r="V15">
        <v>473990</v>
      </c>
      <c r="W15">
        <v>297306</v>
      </c>
      <c r="X15">
        <v>238898</v>
      </c>
      <c r="Y15">
        <v>536204</v>
      </c>
    </row>
    <row r="16" spans="1:25" x14ac:dyDescent="0.3">
      <c r="A16" t="s">
        <v>14</v>
      </c>
      <c r="B16">
        <v>132741</v>
      </c>
      <c r="C16">
        <v>114224</v>
      </c>
      <c r="D16">
        <v>246965</v>
      </c>
      <c r="E16">
        <v>295461</v>
      </c>
      <c r="F16">
        <v>244353</v>
      </c>
      <c r="G16">
        <v>539814</v>
      </c>
      <c r="H16">
        <v>147435</v>
      </c>
      <c r="I16">
        <v>118002</v>
      </c>
      <c r="J16">
        <v>265437</v>
      </c>
      <c r="K16">
        <v>442896</v>
      </c>
      <c r="L16">
        <v>362355</v>
      </c>
      <c r="M16">
        <v>805251</v>
      </c>
      <c r="N16">
        <v>74806</v>
      </c>
      <c r="O16">
        <v>59635</v>
      </c>
      <c r="P16">
        <v>134441</v>
      </c>
      <c r="Q16">
        <v>27366</v>
      </c>
      <c r="R16">
        <v>21010</v>
      </c>
      <c r="S16">
        <v>48376</v>
      </c>
      <c r="T16">
        <v>545068</v>
      </c>
      <c r="U16">
        <v>443000</v>
      </c>
      <c r="V16">
        <v>988068</v>
      </c>
      <c r="W16">
        <v>677809</v>
      </c>
      <c r="X16">
        <v>557224</v>
      </c>
      <c r="Y16">
        <v>1235033</v>
      </c>
    </row>
    <row r="17" spans="1:25" x14ac:dyDescent="0.3">
      <c r="A17" t="s">
        <v>15</v>
      </c>
      <c r="B17">
        <v>35131</v>
      </c>
      <c r="C17">
        <v>26873</v>
      </c>
      <c r="D17">
        <v>62004</v>
      </c>
      <c r="E17">
        <v>188375</v>
      </c>
      <c r="F17">
        <v>137348</v>
      </c>
      <c r="G17">
        <v>325723</v>
      </c>
      <c r="H17">
        <v>155333</v>
      </c>
      <c r="I17">
        <v>114506</v>
      </c>
      <c r="J17">
        <v>269839</v>
      </c>
      <c r="K17">
        <v>343708</v>
      </c>
      <c r="L17">
        <v>251854</v>
      </c>
      <c r="M17">
        <v>595562</v>
      </c>
      <c r="N17">
        <v>181921</v>
      </c>
      <c r="O17">
        <v>151905</v>
      </c>
      <c r="P17">
        <v>333826</v>
      </c>
      <c r="Q17">
        <v>169167</v>
      </c>
      <c r="R17">
        <v>146928</v>
      </c>
      <c r="S17">
        <v>316095</v>
      </c>
      <c r="T17">
        <v>694796</v>
      </c>
      <c r="U17">
        <v>550687</v>
      </c>
      <c r="V17">
        <v>1245483</v>
      </c>
      <c r="W17">
        <v>729927</v>
      </c>
      <c r="X17">
        <v>577560</v>
      </c>
      <c r="Y17">
        <v>1307487</v>
      </c>
    </row>
    <row r="18" spans="1:25" x14ac:dyDescent="0.3">
      <c r="A18" t="s">
        <v>16</v>
      </c>
      <c r="B18">
        <v>127688</v>
      </c>
      <c r="C18">
        <v>110615</v>
      </c>
      <c r="D18">
        <v>238303</v>
      </c>
      <c r="E18">
        <v>1318518</v>
      </c>
      <c r="F18">
        <v>1087963</v>
      </c>
      <c r="G18">
        <v>2406481</v>
      </c>
      <c r="H18">
        <v>665322</v>
      </c>
      <c r="I18">
        <v>543463</v>
      </c>
      <c r="J18">
        <v>1208785</v>
      </c>
      <c r="K18">
        <v>1983840</v>
      </c>
      <c r="L18">
        <v>1631426</v>
      </c>
      <c r="M18">
        <v>3615266</v>
      </c>
      <c r="N18">
        <v>375777</v>
      </c>
      <c r="O18">
        <v>310929</v>
      </c>
      <c r="P18">
        <v>686706</v>
      </c>
      <c r="Q18">
        <v>314949</v>
      </c>
      <c r="R18">
        <v>297961</v>
      </c>
      <c r="S18">
        <v>612910</v>
      </c>
      <c r="T18">
        <v>2674566</v>
      </c>
      <c r="U18">
        <v>2240316</v>
      </c>
      <c r="V18">
        <v>4914882</v>
      </c>
      <c r="W18">
        <v>2802254</v>
      </c>
      <c r="X18">
        <v>2350931</v>
      </c>
      <c r="Y18">
        <v>5153185</v>
      </c>
    </row>
    <row r="19" spans="1:25" x14ac:dyDescent="0.3">
      <c r="A19" t="s">
        <v>17</v>
      </c>
      <c r="B19">
        <v>97352</v>
      </c>
      <c r="C19">
        <v>91777</v>
      </c>
      <c r="D19">
        <v>189129</v>
      </c>
      <c r="E19">
        <v>406191</v>
      </c>
      <c r="F19">
        <v>373091</v>
      </c>
      <c r="G19">
        <v>779282</v>
      </c>
      <c r="H19">
        <v>183653</v>
      </c>
      <c r="I19">
        <v>168795</v>
      </c>
      <c r="J19">
        <v>352448</v>
      </c>
      <c r="K19">
        <v>589844</v>
      </c>
      <c r="L19">
        <v>541886</v>
      </c>
      <c r="M19">
        <v>1131730</v>
      </c>
      <c r="N19">
        <v>95902</v>
      </c>
      <c r="O19">
        <v>92501</v>
      </c>
      <c r="P19">
        <v>188403</v>
      </c>
      <c r="Q19">
        <v>58373</v>
      </c>
      <c r="R19">
        <v>56586</v>
      </c>
      <c r="S19">
        <v>114959</v>
      </c>
      <c r="T19">
        <v>744119</v>
      </c>
      <c r="U19">
        <v>690973</v>
      </c>
      <c r="V19">
        <v>1435092</v>
      </c>
      <c r="W19">
        <v>841471</v>
      </c>
      <c r="X19">
        <v>782750</v>
      </c>
      <c r="Y19">
        <v>1624221</v>
      </c>
    </row>
    <row r="20" spans="1:25" x14ac:dyDescent="0.3">
      <c r="A20" t="s">
        <v>18</v>
      </c>
      <c r="B20">
        <v>3249</v>
      </c>
      <c r="C20">
        <v>2779</v>
      </c>
      <c r="D20">
        <v>6028</v>
      </c>
      <c r="E20">
        <v>6943</v>
      </c>
      <c r="F20">
        <v>6202</v>
      </c>
      <c r="G20">
        <v>13145</v>
      </c>
      <c r="H20">
        <v>3455</v>
      </c>
      <c r="I20">
        <v>3141</v>
      </c>
      <c r="J20">
        <v>6596</v>
      </c>
      <c r="K20">
        <v>10398</v>
      </c>
      <c r="L20">
        <v>9343</v>
      </c>
      <c r="M20">
        <v>19741</v>
      </c>
      <c r="N20">
        <v>1588</v>
      </c>
      <c r="O20">
        <v>1519</v>
      </c>
      <c r="P20">
        <v>3107</v>
      </c>
      <c r="Q20">
        <v>388</v>
      </c>
      <c r="R20">
        <v>494</v>
      </c>
      <c r="S20">
        <v>882</v>
      </c>
      <c r="T20">
        <v>12374</v>
      </c>
      <c r="U20">
        <v>11356</v>
      </c>
      <c r="V20">
        <v>23730</v>
      </c>
      <c r="W20">
        <v>15623</v>
      </c>
      <c r="X20">
        <v>14135</v>
      </c>
      <c r="Y20">
        <v>29758</v>
      </c>
    </row>
    <row r="21" spans="1:25" x14ac:dyDescent="0.3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 t="s">
        <v>20</v>
      </c>
      <c r="B22">
        <v>387886</v>
      </c>
      <c r="C22">
        <v>324364</v>
      </c>
      <c r="D22">
        <v>712250</v>
      </c>
      <c r="E22">
        <v>1639135</v>
      </c>
      <c r="F22">
        <v>1312743</v>
      </c>
      <c r="G22">
        <v>2951878</v>
      </c>
      <c r="H22">
        <v>919007</v>
      </c>
      <c r="I22">
        <v>699888</v>
      </c>
      <c r="J22">
        <v>1618895</v>
      </c>
      <c r="K22">
        <v>2558142</v>
      </c>
      <c r="L22">
        <v>2012631</v>
      </c>
      <c r="M22">
        <v>4570773</v>
      </c>
      <c r="N22">
        <v>399644</v>
      </c>
      <c r="O22">
        <v>289275</v>
      </c>
      <c r="P22">
        <v>688919</v>
      </c>
      <c r="Q22">
        <v>322007</v>
      </c>
      <c r="R22">
        <v>229547</v>
      </c>
      <c r="S22">
        <v>551554</v>
      </c>
      <c r="T22">
        <v>3279793</v>
      </c>
      <c r="U22">
        <v>2531453</v>
      </c>
      <c r="V22">
        <v>5811246</v>
      </c>
      <c r="W22">
        <v>3667679</v>
      </c>
      <c r="X22">
        <v>2855817</v>
      </c>
      <c r="Y22">
        <v>6523496</v>
      </c>
    </row>
    <row r="23" spans="1:25" x14ac:dyDescent="0.3">
      <c r="A23" t="s">
        <v>21</v>
      </c>
      <c r="B23">
        <v>178719</v>
      </c>
      <c r="C23">
        <v>153547</v>
      </c>
      <c r="D23">
        <v>332266</v>
      </c>
      <c r="E23">
        <v>1701667</v>
      </c>
      <c r="F23">
        <v>1356404</v>
      </c>
      <c r="G23">
        <v>3058071</v>
      </c>
      <c r="H23">
        <v>833071</v>
      </c>
      <c r="I23">
        <v>620527</v>
      </c>
      <c r="J23">
        <v>1453598</v>
      </c>
      <c r="K23">
        <v>2534738</v>
      </c>
      <c r="L23">
        <v>1976931</v>
      </c>
      <c r="M23">
        <v>4511669</v>
      </c>
      <c r="N23">
        <v>513065</v>
      </c>
      <c r="O23">
        <v>379242</v>
      </c>
      <c r="P23">
        <v>892307</v>
      </c>
      <c r="Q23">
        <v>373015</v>
      </c>
      <c r="R23">
        <v>283148</v>
      </c>
      <c r="S23">
        <v>656163</v>
      </c>
      <c r="T23">
        <v>3420818</v>
      </c>
      <c r="U23">
        <v>2639321</v>
      </c>
      <c r="V23">
        <v>6060139</v>
      </c>
      <c r="W23">
        <v>3599537</v>
      </c>
      <c r="X23">
        <v>2792868</v>
      </c>
      <c r="Y23">
        <v>6392405</v>
      </c>
    </row>
    <row r="24" spans="1:25" x14ac:dyDescent="0.3">
      <c r="A24" t="s">
        <v>22</v>
      </c>
      <c r="B24">
        <v>22457</v>
      </c>
      <c r="C24">
        <v>20960</v>
      </c>
      <c r="D24">
        <v>43417</v>
      </c>
      <c r="E24">
        <v>85789</v>
      </c>
      <c r="F24">
        <v>79866</v>
      </c>
      <c r="G24">
        <v>165655</v>
      </c>
      <c r="H24">
        <v>53460</v>
      </c>
      <c r="I24">
        <v>50418</v>
      </c>
      <c r="J24">
        <v>103878</v>
      </c>
      <c r="K24">
        <v>139249</v>
      </c>
      <c r="L24">
        <v>130284</v>
      </c>
      <c r="M24">
        <v>269533</v>
      </c>
      <c r="N24">
        <v>32990</v>
      </c>
      <c r="O24">
        <v>32035</v>
      </c>
      <c r="P24">
        <v>65025</v>
      </c>
      <c r="Q24">
        <v>26631</v>
      </c>
      <c r="R24">
        <v>25560</v>
      </c>
      <c r="S24">
        <v>52191</v>
      </c>
      <c r="T24">
        <v>198870</v>
      </c>
      <c r="U24">
        <v>187879</v>
      </c>
      <c r="V24">
        <v>386749</v>
      </c>
      <c r="W24">
        <v>221327</v>
      </c>
      <c r="X24">
        <v>208839</v>
      </c>
      <c r="Y24">
        <v>430166</v>
      </c>
    </row>
    <row r="25" spans="1:25" x14ac:dyDescent="0.3">
      <c r="A25" t="s">
        <v>23</v>
      </c>
      <c r="B25">
        <v>27773</v>
      </c>
      <c r="C25">
        <v>27140</v>
      </c>
      <c r="D25">
        <v>54913</v>
      </c>
      <c r="E25">
        <v>60485</v>
      </c>
      <c r="F25">
        <v>60224</v>
      </c>
      <c r="G25">
        <v>120709</v>
      </c>
      <c r="H25">
        <v>15854</v>
      </c>
      <c r="I25">
        <v>16809</v>
      </c>
      <c r="J25">
        <v>32663</v>
      </c>
      <c r="K25">
        <v>76339</v>
      </c>
      <c r="L25">
        <v>77033</v>
      </c>
      <c r="M25">
        <v>153372</v>
      </c>
      <c r="N25">
        <v>15276</v>
      </c>
      <c r="O25">
        <v>18366</v>
      </c>
      <c r="P25">
        <v>33642</v>
      </c>
      <c r="Q25">
        <v>10774</v>
      </c>
      <c r="R25">
        <v>12966</v>
      </c>
      <c r="S25">
        <v>23740</v>
      </c>
      <c r="T25">
        <v>102389</v>
      </c>
      <c r="U25">
        <v>108365</v>
      </c>
      <c r="V25">
        <v>210754</v>
      </c>
      <c r="W25">
        <v>130162</v>
      </c>
      <c r="X25">
        <v>135505</v>
      </c>
      <c r="Y25">
        <v>265667</v>
      </c>
    </row>
    <row r="26" spans="1:25" x14ac:dyDescent="0.3">
      <c r="A26" t="s">
        <v>24</v>
      </c>
      <c r="B26">
        <v>10327</v>
      </c>
      <c r="C26">
        <v>10424</v>
      </c>
      <c r="D26">
        <v>20751</v>
      </c>
      <c r="E26">
        <v>31158</v>
      </c>
      <c r="F26">
        <v>30664</v>
      </c>
      <c r="G26">
        <v>61822</v>
      </c>
      <c r="H26">
        <v>14738</v>
      </c>
      <c r="I26">
        <v>14739</v>
      </c>
      <c r="J26">
        <v>29477</v>
      </c>
      <c r="K26">
        <v>45896</v>
      </c>
      <c r="L26">
        <v>45403</v>
      </c>
      <c r="M26">
        <v>91299</v>
      </c>
      <c r="N26">
        <v>6431</v>
      </c>
      <c r="O26">
        <v>6551</v>
      </c>
      <c r="P26">
        <v>12982</v>
      </c>
      <c r="Q26">
        <v>6025</v>
      </c>
      <c r="R26">
        <v>6155</v>
      </c>
      <c r="S26">
        <v>12180</v>
      </c>
      <c r="T26">
        <v>58352</v>
      </c>
      <c r="U26">
        <v>58109</v>
      </c>
      <c r="V26">
        <v>116461</v>
      </c>
      <c r="W26">
        <v>68679</v>
      </c>
      <c r="X26">
        <v>68533</v>
      </c>
      <c r="Y26">
        <v>137212</v>
      </c>
    </row>
    <row r="27" spans="1:25" x14ac:dyDescent="0.3">
      <c r="A27" t="s">
        <v>25</v>
      </c>
      <c r="B27">
        <v>20553</v>
      </c>
      <c r="C27">
        <v>18788</v>
      </c>
      <c r="D27">
        <v>39341</v>
      </c>
      <c r="E27">
        <v>57764</v>
      </c>
      <c r="F27">
        <v>51979</v>
      </c>
      <c r="G27">
        <v>109743</v>
      </c>
      <c r="H27">
        <v>31799</v>
      </c>
      <c r="I27">
        <v>29238</v>
      </c>
      <c r="J27">
        <v>61037</v>
      </c>
      <c r="K27">
        <v>89563</v>
      </c>
      <c r="L27">
        <v>81217</v>
      </c>
      <c r="M27">
        <v>170780</v>
      </c>
      <c r="N27">
        <v>19863</v>
      </c>
      <c r="O27">
        <v>19397</v>
      </c>
      <c r="P27">
        <v>39260</v>
      </c>
      <c r="Q27">
        <v>11483</v>
      </c>
      <c r="R27">
        <v>12627</v>
      </c>
      <c r="S27">
        <v>24110</v>
      </c>
      <c r="T27">
        <v>120909</v>
      </c>
      <c r="U27">
        <v>113241</v>
      </c>
      <c r="V27">
        <v>234150</v>
      </c>
      <c r="W27">
        <v>141462</v>
      </c>
      <c r="X27">
        <v>132029</v>
      </c>
      <c r="Y27">
        <v>273491</v>
      </c>
    </row>
    <row r="28" spans="1:25" x14ac:dyDescent="0.3">
      <c r="A28" t="s">
        <v>26</v>
      </c>
      <c r="B28">
        <v>22092</v>
      </c>
      <c r="C28">
        <v>18148</v>
      </c>
      <c r="D28">
        <v>40240</v>
      </c>
      <c r="E28">
        <v>376603</v>
      </c>
      <c r="F28">
        <v>293400</v>
      </c>
      <c r="G28">
        <v>670003</v>
      </c>
      <c r="H28">
        <v>160413</v>
      </c>
      <c r="I28">
        <v>119228</v>
      </c>
      <c r="J28">
        <v>279641</v>
      </c>
      <c r="K28">
        <v>537016</v>
      </c>
      <c r="L28">
        <v>412628</v>
      </c>
      <c r="M28">
        <v>949644</v>
      </c>
      <c r="N28">
        <v>69405</v>
      </c>
      <c r="O28">
        <v>53710</v>
      </c>
      <c r="P28">
        <v>123115</v>
      </c>
      <c r="Q28">
        <v>124069</v>
      </c>
      <c r="R28">
        <v>123983</v>
      </c>
      <c r="S28">
        <v>248052</v>
      </c>
      <c r="T28">
        <v>730490</v>
      </c>
      <c r="U28">
        <v>590321</v>
      </c>
      <c r="V28">
        <v>1320811</v>
      </c>
      <c r="W28">
        <v>752582</v>
      </c>
      <c r="X28">
        <v>608469</v>
      </c>
      <c r="Y28">
        <v>1361051</v>
      </c>
    </row>
    <row r="29" spans="1:25" x14ac:dyDescent="0.3">
      <c r="A29" t="s">
        <v>27</v>
      </c>
      <c r="B29">
        <v>6353</v>
      </c>
      <c r="C29">
        <v>5395</v>
      </c>
      <c r="D29">
        <v>11748</v>
      </c>
      <c r="E29">
        <v>28908</v>
      </c>
      <c r="F29">
        <v>23702</v>
      </c>
      <c r="G29">
        <v>52610</v>
      </c>
      <c r="H29">
        <v>17179</v>
      </c>
      <c r="I29">
        <v>14033</v>
      </c>
      <c r="J29">
        <v>31212</v>
      </c>
      <c r="K29">
        <v>46087</v>
      </c>
      <c r="L29">
        <v>37735</v>
      </c>
      <c r="M29">
        <v>83822</v>
      </c>
      <c r="N29">
        <v>11383</v>
      </c>
      <c r="O29">
        <v>8964</v>
      </c>
      <c r="P29">
        <v>20347</v>
      </c>
      <c r="Q29">
        <v>9964</v>
      </c>
      <c r="R29">
        <v>8099</v>
      </c>
      <c r="S29">
        <v>18063</v>
      </c>
      <c r="T29">
        <v>67434</v>
      </c>
      <c r="U29">
        <v>54798</v>
      </c>
      <c r="V29">
        <v>122232</v>
      </c>
      <c r="W29">
        <v>73787</v>
      </c>
      <c r="X29">
        <v>60193</v>
      </c>
      <c r="Y29">
        <v>133980</v>
      </c>
    </row>
    <row r="30" spans="1:25" x14ac:dyDescent="0.3">
      <c r="A30" t="s">
        <v>28</v>
      </c>
      <c r="B30">
        <v>225078</v>
      </c>
      <c r="C30">
        <v>182491</v>
      </c>
      <c r="D30">
        <v>407569</v>
      </c>
      <c r="E30">
        <v>652227</v>
      </c>
      <c r="F30">
        <v>513345</v>
      </c>
      <c r="G30">
        <v>1165572</v>
      </c>
      <c r="H30">
        <v>347799</v>
      </c>
      <c r="I30">
        <v>268340</v>
      </c>
      <c r="J30">
        <v>616139</v>
      </c>
      <c r="K30">
        <v>1000026</v>
      </c>
      <c r="L30">
        <v>781685</v>
      </c>
      <c r="M30">
        <v>1781711</v>
      </c>
      <c r="N30">
        <v>215569</v>
      </c>
      <c r="O30">
        <v>165008</v>
      </c>
      <c r="P30">
        <v>380577</v>
      </c>
      <c r="Q30">
        <v>164146</v>
      </c>
      <c r="R30">
        <v>130394</v>
      </c>
      <c r="S30">
        <v>294540</v>
      </c>
      <c r="T30">
        <v>1379741</v>
      </c>
      <c r="U30">
        <v>1077087</v>
      </c>
      <c r="V30">
        <v>2456828</v>
      </c>
      <c r="W30">
        <v>1604819</v>
      </c>
      <c r="X30">
        <v>1259578</v>
      </c>
      <c r="Y30">
        <v>2864397</v>
      </c>
    </row>
    <row r="31" spans="1:25" x14ac:dyDescent="0.3">
      <c r="A31" t="s">
        <v>29</v>
      </c>
      <c r="B31">
        <v>272335</v>
      </c>
      <c r="C31">
        <v>213704</v>
      </c>
      <c r="D31">
        <v>486039</v>
      </c>
      <c r="E31">
        <v>2043800</v>
      </c>
      <c r="F31">
        <v>1521095</v>
      </c>
      <c r="G31">
        <v>3564895</v>
      </c>
      <c r="H31">
        <v>1043962</v>
      </c>
      <c r="I31">
        <v>712407</v>
      </c>
      <c r="J31">
        <v>1756369</v>
      </c>
      <c r="K31">
        <v>3087762</v>
      </c>
      <c r="L31">
        <v>2233502</v>
      </c>
      <c r="M31">
        <v>5321264</v>
      </c>
      <c r="N31">
        <v>578170</v>
      </c>
      <c r="O31">
        <v>365255</v>
      </c>
      <c r="P31">
        <v>943425</v>
      </c>
      <c r="Q31">
        <v>515921</v>
      </c>
      <c r="R31">
        <v>318289</v>
      </c>
      <c r="S31">
        <v>834210</v>
      </c>
      <c r="T31">
        <v>4181853</v>
      </c>
      <c r="U31">
        <v>2917046</v>
      </c>
      <c r="V31">
        <v>7098899</v>
      </c>
      <c r="W31">
        <v>4454188</v>
      </c>
      <c r="X31">
        <v>3130750</v>
      </c>
      <c r="Y31">
        <v>7584938</v>
      </c>
    </row>
    <row r="32" spans="1:25" x14ac:dyDescent="0.3">
      <c r="A32" t="s">
        <v>30</v>
      </c>
      <c r="B32">
        <v>6897</v>
      </c>
      <c r="C32">
        <v>6228</v>
      </c>
      <c r="D32">
        <v>13125</v>
      </c>
      <c r="E32">
        <v>12200</v>
      </c>
      <c r="F32">
        <v>10713</v>
      </c>
      <c r="G32">
        <v>22913</v>
      </c>
      <c r="H32">
        <v>3943</v>
      </c>
      <c r="I32">
        <v>3167</v>
      </c>
      <c r="J32">
        <v>7110</v>
      </c>
      <c r="K32">
        <v>16143</v>
      </c>
      <c r="L32">
        <v>13880</v>
      </c>
      <c r="M32">
        <v>30023</v>
      </c>
      <c r="N32">
        <v>1748</v>
      </c>
      <c r="O32">
        <v>1391</v>
      </c>
      <c r="P32">
        <v>3139</v>
      </c>
      <c r="Q32">
        <v>677</v>
      </c>
      <c r="R32">
        <v>617</v>
      </c>
      <c r="S32">
        <v>1294</v>
      </c>
      <c r="T32">
        <v>18568</v>
      </c>
      <c r="U32">
        <v>15888</v>
      </c>
      <c r="V32">
        <v>34456</v>
      </c>
      <c r="W32">
        <v>25465</v>
      </c>
      <c r="X32">
        <v>22116</v>
      </c>
      <c r="Y32">
        <v>47581</v>
      </c>
    </row>
    <row r="33" spans="1:25" x14ac:dyDescent="0.3">
      <c r="A33" t="s">
        <v>31</v>
      </c>
      <c r="B33">
        <v>291301</v>
      </c>
      <c r="C33">
        <v>267477</v>
      </c>
      <c r="D33">
        <v>558778</v>
      </c>
      <c r="E33">
        <v>1264913</v>
      </c>
      <c r="F33">
        <v>1098840</v>
      </c>
      <c r="G33">
        <v>2363753</v>
      </c>
      <c r="H33">
        <v>571593</v>
      </c>
      <c r="I33">
        <v>467226</v>
      </c>
      <c r="J33">
        <v>1038819</v>
      </c>
      <c r="K33">
        <v>1836506</v>
      </c>
      <c r="L33">
        <v>1566066</v>
      </c>
      <c r="M33">
        <v>3402572</v>
      </c>
      <c r="N33">
        <v>378268</v>
      </c>
      <c r="O33">
        <v>302205</v>
      </c>
      <c r="P33">
        <v>680473</v>
      </c>
      <c r="Q33">
        <v>317638</v>
      </c>
      <c r="R33">
        <v>270486</v>
      </c>
      <c r="S33">
        <v>588124</v>
      </c>
      <c r="T33">
        <v>2532412</v>
      </c>
      <c r="U33">
        <v>2138757</v>
      </c>
      <c r="V33">
        <v>4671169</v>
      </c>
      <c r="W33">
        <v>2823713</v>
      </c>
      <c r="X33">
        <v>2406234</v>
      </c>
      <c r="Y33">
        <v>5229947</v>
      </c>
    </row>
    <row r="34" spans="1:25" x14ac:dyDescent="0.3">
      <c r="A34" t="s">
        <v>32</v>
      </c>
      <c r="B34">
        <v>77567</v>
      </c>
      <c r="C34">
        <v>66400</v>
      </c>
      <c r="D34">
        <v>143967</v>
      </c>
      <c r="E34">
        <v>835713</v>
      </c>
      <c r="F34">
        <v>710712</v>
      </c>
      <c r="G34">
        <v>1546425</v>
      </c>
      <c r="H34">
        <v>462938</v>
      </c>
      <c r="I34">
        <v>379440</v>
      </c>
      <c r="J34">
        <v>842378</v>
      </c>
      <c r="K34">
        <v>1298651</v>
      </c>
      <c r="L34">
        <v>1090152</v>
      </c>
      <c r="M34">
        <v>2388803</v>
      </c>
      <c r="N34">
        <v>281920</v>
      </c>
      <c r="O34">
        <v>230182</v>
      </c>
      <c r="P34">
        <v>512102</v>
      </c>
      <c r="Q34">
        <v>251183</v>
      </c>
      <c r="R34">
        <v>218283</v>
      </c>
      <c r="S34">
        <v>469466</v>
      </c>
      <c r="T34">
        <v>1831754</v>
      </c>
      <c r="U34">
        <v>1538617</v>
      </c>
      <c r="V34">
        <v>3370371</v>
      </c>
      <c r="W34">
        <v>1909321</v>
      </c>
      <c r="X34">
        <v>1605017</v>
      </c>
      <c r="Y34">
        <v>3514338</v>
      </c>
    </row>
    <row r="35" spans="1:25" x14ac:dyDescent="0.3">
      <c r="A35" t="s">
        <v>33</v>
      </c>
      <c r="B35">
        <v>11275</v>
      </c>
      <c r="C35">
        <v>9922</v>
      </c>
      <c r="D35">
        <v>21197</v>
      </c>
      <c r="E35">
        <v>32023</v>
      </c>
      <c r="F35">
        <v>26607</v>
      </c>
      <c r="G35">
        <v>58630</v>
      </c>
      <c r="H35">
        <v>14851</v>
      </c>
      <c r="I35">
        <v>12177</v>
      </c>
      <c r="J35">
        <v>27028</v>
      </c>
      <c r="K35">
        <v>46874</v>
      </c>
      <c r="L35">
        <v>38784</v>
      </c>
      <c r="M35">
        <v>85658</v>
      </c>
      <c r="N35">
        <v>7955</v>
      </c>
      <c r="O35">
        <v>6489</v>
      </c>
      <c r="P35">
        <v>14444</v>
      </c>
      <c r="Q35">
        <v>4048</v>
      </c>
      <c r="R35">
        <v>3685</v>
      </c>
      <c r="S35">
        <v>7733</v>
      </c>
      <c r="T35">
        <v>58877</v>
      </c>
      <c r="U35">
        <v>48958</v>
      </c>
      <c r="V35">
        <v>107835</v>
      </c>
      <c r="W35">
        <v>70152</v>
      </c>
      <c r="X35">
        <v>58880</v>
      </c>
      <c r="Y35">
        <v>129032</v>
      </c>
    </row>
    <row r="36" spans="1:25" x14ac:dyDescent="0.3">
      <c r="A36" t="s">
        <v>34</v>
      </c>
      <c r="B36">
        <v>217519</v>
      </c>
      <c r="C36">
        <v>169070</v>
      </c>
      <c r="D36">
        <v>386589</v>
      </c>
      <c r="E36">
        <v>4874764</v>
      </c>
      <c r="F36">
        <v>3913110</v>
      </c>
      <c r="G36">
        <v>8787874</v>
      </c>
      <c r="H36">
        <v>2641873</v>
      </c>
      <c r="I36">
        <v>2192422</v>
      </c>
      <c r="J36">
        <v>4834295</v>
      </c>
      <c r="K36">
        <v>7516637</v>
      </c>
      <c r="L36">
        <v>6105532</v>
      </c>
      <c r="M36">
        <v>13622169</v>
      </c>
      <c r="N36">
        <v>2251866</v>
      </c>
      <c r="O36">
        <v>1855152</v>
      </c>
      <c r="P36">
        <v>4107018</v>
      </c>
      <c r="Q36">
        <v>1621512</v>
      </c>
      <c r="R36">
        <v>1358160</v>
      </c>
      <c r="S36">
        <v>2979672</v>
      </c>
      <c r="T36">
        <v>11390015</v>
      </c>
      <c r="U36">
        <v>9318844</v>
      </c>
      <c r="V36">
        <v>20708859</v>
      </c>
      <c r="W36">
        <v>11607534</v>
      </c>
      <c r="X36">
        <v>9487914</v>
      </c>
      <c r="Y36">
        <v>21095448</v>
      </c>
    </row>
    <row r="37" spans="1:25" x14ac:dyDescent="0.3">
      <c r="A37" t="s">
        <v>35</v>
      </c>
      <c r="B37">
        <v>51276</v>
      </c>
      <c r="C37">
        <v>41495</v>
      </c>
      <c r="D37">
        <v>92771</v>
      </c>
      <c r="E37">
        <v>320665</v>
      </c>
      <c r="F37">
        <v>254133</v>
      </c>
      <c r="G37">
        <v>574798</v>
      </c>
      <c r="H37">
        <v>169292</v>
      </c>
      <c r="I37">
        <v>128175</v>
      </c>
      <c r="J37">
        <v>297467</v>
      </c>
      <c r="K37">
        <v>489957</v>
      </c>
      <c r="L37">
        <v>382308</v>
      </c>
      <c r="M37">
        <v>872265</v>
      </c>
      <c r="N37">
        <v>89234</v>
      </c>
      <c r="O37">
        <v>64062</v>
      </c>
      <c r="P37">
        <v>153296</v>
      </c>
      <c r="Q37">
        <v>69889</v>
      </c>
      <c r="R37">
        <v>50493</v>
      </c>
      <c r="S37">
        <v>120382</v>
      </c>
      <c r="T37">
        <v>649080</v>
      </c>
      <c r="U37">
        <v>496863</v>
      </c>
      <c r="V37">
        <v>1145943</v>
      </c>
      <c r="W37">
        <v>700356</v>
      </c>
      <c r="X37">
        <v>538358</v>
      </c>
      <c r="Y37">
        <v>1238714</v>
      </c>
    </row>
    <row r="38" spans="1:25" x14ac:dyDescent="0.3">
      <c r="A38" t="s">
        <v>36</v>
      </c>
      <c r="B38">
        <v>203107</v>
      </c>
      <c r="C38">
        <v>178357</v>
      </c>
      <c r="D38">
        <v>381464</v>
      </c>
      <c r="E38">
        <v>538900</v>
      </c>
      <c r="F38">
        <v>459562</v>
      </c>
      <c r="G38">
        <v>998462</v>
      </c>
      <c r="H38">
        <v>183107</v>
      </c>
      <c r="I38">
        <v>150598</v>
      </c>
      <c r="J38">
        <v>333705</v>
      </c>
      <c r="K38">
        <v>722007</v>
      </c>
      <c r="L38">
        <v>610160</v>
      </c>
      <c r="M38">
        <v>1332167</v>
      </c>
      <c r="N38">
        <v>72652</v>
      </c>
      <c r="O38">
        <v>58078</v>
      </c>
      <c r="P38">
        <v>130730</v>
      </c>
      <c r="Q38">
        <v>49723</v>
      </c>
      <c r="R38">
        <v>41943</v>
      </c>
      <c r="S38">
        <v>91666</v>
      </c>
      <c r="T38">
        <v>844382</v>
      </c>
      <c r="U38">
        <v>710181</v>
      </c>
      <c r="V38">
        <v>1554563</v>
      </c>
      <c r="W38">
        <v>1047489</v>
      </c>
      <c r="X38">
        <v>888538</v>
      </c>
      <c r="Y38">
        <v>1936027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38DBF-4F1D-443B-BA73-5CABEB3AEEFA}">
  <dimension ref="A3:G40"/>
  <sheetViews>
    <sheetView workbookViewId="0">
      <selection activeCell="P6" sqref="P6"/>
    </sheetView>
  </sheetViews>
  <sheetFormatPr defaultRowHeight="14.4" x14ac:dyDescent="0.3"/>
  <cols>
    <col min="1" max="1" width="36.21875" bestFit="1" customWidth="1"/>
    <col min="2" max="2" width="31.6640625" bestFit="1" customWidth="1"/>
    <col min="6" max="6" width="14.33203125" bestFit="1" customWidth="1"/>
  </cols>
  <sheetData>
    <row r="3" spans="1:7" x14ac:dyDescent="0.3">
      <c r="A3" s="2" t="s">
        <v>62</v>
      </c>
      <c r="B3" t="s">
        <v>64</v>
      </c>
      <c r="F3" s="1" t="s">
        <v>37</v>
      </c>
      <c r="G3" s="1" t="s">
        <v>70</v>
      </c>
    </row>
    <row r="4" spans="1:7" x14ac:dyDescent="0.3">
      <c r="A4" s="3" t="s">
        <v>34</v>
      </c>
      <c r="B4">
        <v>21095448</v>
      </c>
      <c r="F4" s="3" t="s">
        <v>34</v>
      </c>
      <c r="G4">
        <f>GETPIVOTDATA("Total (Pre-Pri to H Sec) - Total",$A$3,"State","Uttar Pradesh")</f>
        <v>21095448</v>
      </c>
    </row>
    <row r="5" spans="1:7" x14ac:dyDescent="0.3">
      <c r="A5" s="3" t="s">
        <v>29</v>
      </c>
      <c r="B5">
        <v>7584938</v>
      </c>
      <c r="F5" s="3" t="s">
        <v>29</v>
      </c>
      <c r="G5">
        <f>GETPIVOTDATA("Total (Pre-Pri to H Sec) - Total",$A$3,"State","Rajasthan")</f>
        <v>7584938</v>
      </c>
    </row>
    <row r="6" spans="1:7" x14ac:dyDescent="0.3">
      <c r="A6" s="3" t="s">
        <v>20</v>
      </c>
      <c r="B6">
        <v>6523496</v>
      </c>
      <c r="F6" s="3" t="s">
        <v>20</v>
      </c>
      <c r="G6">
        <f>GETPIVOTDATA("Total (Pre-Pri to H Sec) - Total",$A$3,"State","Madhya Pradesh")</f>
        <v>6523496</v>
      </c>
    </row>
    <row r="7" spans="1:7" x14ac:dyDescent="0.3">
      <c r="A7" s="3" t="s">
        <v>21</v>
      </c>
      <c r="B7">
        <v>6392405</v>
      </c>
      <c r="F7" s="3" t="s">
        <v>21</v>
      </c>
      <c r="G7">
        <f>GETPIVOTDATA("Total (Pre-Pri to H Sec) - Total",$A$3,"State","Maharashtra")</f>
        <v>6392405</v>
      </c>
    </row>
    <row r="8" spans="1:7" x14ac:dyDescent="0.3">
      <c r="A8" s="3" t="s">
        <v>31</v>
      </c>
      <c r="B8">
        <v>5229947</v>
      </c>
      <c r="F8" s="3" t="s">
        <v>31</v>
      </c>
      <c r="G8">
        <f>GETPIVOTDATA("Total (Pre-Pri to H Sec) - Total",$A$3,"State","Tamil Nadu")</f>
        <v>5229947</v>
      </c>
    </row>
    <row r="9" spans="1:7" x14ac:dyDescent="0.3">
      <c r="A9" s="3" t="s">
        <v>16</v>
      </c>
      <c r="B9">
        <v>5153185</v>
      </c>
      <c r="F9" s="3" t="s">
        <v>16</v>
      </c>
      <c r="G9">
        <f>GETPIVOTDATA("Total (Pre-Pri to H Sec) - Total",$A$3,"State","Karnataka")</f>
        <v>5153185</v>
      </c>
    </row>
    <row r="10" spans="1:7" x14ac:dyDescent="0.3">
      <c r="A10" s="3" t="s">
        <v>11</v>
      </c>
      <c r="B10">
        <v>4155768</v>
      </c>
      <c r="F10" s="3" t="s">
        <v>11</v>
      </c>
      <c r="G10">
        <f>GETPIVOTDATA("Total (Pre-Pri to H Sec) - Total",$A$3,"State","Gujarat")</f>
        <v>4155768</v>
      </c>
    </row>
    <row r="11" spans="1:7" x14ac:dyDescent="0.3">
      <c r="A11" s="3" t="s">
        <v>32</v>
      </c>
      <c r="B11">
        <v>3514338</v>
      </c>
    </row>
    <row r="12" spans="1:7" x14ac:dyDescent="0.3">
      <c r="A12" s="3" t="s">
        <v>2</v>
      </c>
      <c r="B12">
        <v>3321792</v>
      </c>
    </row>
    <row r="13" spans="1:7" x14ac:dyDescent="0.3">
      <c r="A13" s="3" t="s">
        <v>5</v>
      </c>
      <c r="B13">
        <v>3306257</v>
      </c>
    </row>
    <row r="14" spans="1:7" x14ac:dyDescent="0.3">
      <c r="A14" s="3" t="s">
        <v>12</v>
      </c>
      <c r="B14">
        <v>3301867</v>
      </c>
    </row>
    <row r="15" spans="1:7" x14ac:dyDescent="0.3">
      <c r="A15" s="3" t="s">
        <v>28</v>
      </c>
      <c r="B15">
        <v>2864397</v>
      </c>
    </row>
    <row r="16" spans="1:7" x14ac:dyDescent="0.3">
      <c r="A16" s="3" t="s">
        <v>36</v>
      </c>
      <c r="B16">
        <v>1936027</v>
      </c>
    </row>
    <row r="17" spans="1:2" x14ac:dyDescent="0.3">
      <c r="A17" s="3" t="s">
        <v>7</v>
      </c>
      <c r="B17">
        <v>1643600</v>
      </c>
    </row>
    <row r="18" spans="1:2" x14ac:dyDescent="0.3">
      <c r="A18" s="3" t="s">
        <v>9</v>
      </c>
      <c r="B18">
        <v>1624522</v>
      </c>
    </row>
    <row r="19" spans="1:2" x14ac:dyDescent="0.3">
      <c r="A19" s="3" t="s">
        <v>17</v>
      </c>
      <c r="B19">
        <v>1624221</v>
      </c>
    </row>
    <row r="20" spans="1:2" x14ac:dyDescent="0.3">
      <c r="A20" s="3" t="s">
        <v>4</v>
      </c>
      <c r="B20">
        <v>1595135</v>
      </c>
    </row>
    <row r="21" spans="1:2" x14ac:dyDescent="0.3">
      <c r="A21" s="3" t="s">
        <v>26</v>
      </c>
      <c r="B21">
        <v>1361051</v>
      </c>
    </row>
    <row r="22" spans="1:2" x14ac:dyDescent="0.3">
      <c r="A22" s="3" t="s">
        <v>15</v>
      </c>
      <c r="B22">
        <v>1307487</v>
      </c>
    </row>
    <row r="23" spans="1:2" x14ac:dyDescent="0.3">
      <c r="A23" s="3" t="s">
        <v>35</v>
      </c>
      <c r="B23">
        <v>1238714</v>
      </c>
    </row>
    <row r="24" spans="1:2" x14ac:dyDescent="0.3">
      <c r="A24" s="3" t="s">
        <v>14</v>
      </c>
      <c r="B24">
        <v>1235033</v>
      </c>
    </row>
    <row r="25" spans="1:2" x14ac:dyDescent="0.3">
      <c r="A25" s="3" t="s">
        <v>13</v>
      </c>
      <c r="B25">
        <v>536204</v>
      </c>
    </row>
    <row r="26" spans="1:2" x14ac:dyDescent="0.3">
      <c r="A26" s="3" t="s">
        <v>22</v>
      </c>
      <c r="B26">
        <v>430166</v>
      </c>
    </row>
    <row r="27" spans="1:2" x14ac:dyDescent="0.3">
      <c r="A27" s="3" t="s">
        <v>25</v>
      </c>
      <c r="B27">
        <v>273491</v>
      </c>
    </row>
    <row r="28" spans="1:2" x14ac:dyDescent="0.3">
      <c r="A28" s="3" t="s">
        <v>23</v>
      </c>
      <c r="B28">
        <v>265667</v>
      </c>
    </row>
    <row r="29" spans="1:2" x14ac:dyDescent="0.3">
      <c r="A29" s="3" t="s">
        <v>24</v>
      </c>
      <c r="B29">
        <v>137212</v>
      </c>
    </row>
    <row r="30" spans="1:2" x14ac:dyDescent="0.3">
      <c r="A30" s="3" t="s">
        <v>27</v>
      </c>
      <c r="B30">
        <v>133980</v>
      </c>
    </row>
    <row r="31" spans="1:2" x14ac:dyDescent="0.3">
      <c r="A31" s="3" t="s">
        <v>33</v>
      </c>
      <c r="B31">
        <v>129032</v>
      </c>
    </row>
    <row r="32" spans="1:2" x14ac:dyDescent="0.3">
      <c r="A32" s="3" t="s">
        <v>3</v>
      </c>
      <c r="B32">
        <v>94940</v>
      </c>
    </row>
    <row r="33" spans="1:2" x14ac:dyDescent="0.3">
      <c r="A33" s="3" t="s">
        <v>6</v>
      </c>
      <c r="B33">
        <v>88519</v>
      </c>
    </row>
    <row r="34" spans="1:2" x14ac:dyDescent="0.3">
      <c r="A34" s="3" t="s">
        <v>30</v>
      </c>
      <c r="B34">
        <v>47581</v>
      </c>
    </row>
    <row r="35" spans="1:2" x14ac:dyDescent="0.3">
      <c r="A35" s="3" t="s">
        <v>10</v>
      </c>
      <c r="B35">
        <v>39113</v>
      </c>
    </row>
    <row r="36" spans="1:2" x14ac:dyDescent="0.3">
      <c r="A36" s="3" t="s">
        <v>8</v>
      </c>
      <c r="B36">
        <v>35223</v>
      </c>
    </row>
    <row r="37" spans="1:2" x14ac:dyDescent="0.3">
      <c r="A37" s="3" t="s">
        <v>18</v>
      </c>
      <c r="B37">
        <v>29758</v>
      </c>
    </row>
    <row r="38" spans="1:2" x14ac:dyDescent="0.3">
      <c r="A38" s="3" t="s">
        <v>1</v>
      </c>
      <c r="B38">
        <v>20802</v>
      </c>
    </row>
    <row r="39" spans="1:2" x14ac:dyDescent="0.3">
      <c r="A39" s="3" t="s">
        <v>19</v>
      </c>
      <c r="B39">
        <v>0</v>
      </c>
    </row>
    <row r="40" spans="1:2" x14ac:dyDescent="0.3">
      <c r="A40" s="3" t="s">
        <v>63</v>
      </c>
      <c r="B40">
        <v>88271316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1835A-6FB5-4962-B175-6E596322062C}">
  <dimension ref="A3:E39"/>
  <sheetViews>
    <sheetView topLeftCell="A12" workbookViewId="0">
      <selection activeCell="H30" sqref="H30"/>
    </sheetView>
  </sheetViews>
  <sheetFormatPr defaultRowHeight="14.4" x14ac:dyDescent="0.3"/>
  <cols>
    <col min="1" max="1" width="36.21875" bestFit="1" customWidth="1"/>
    <col min="2" max="2" width="12" bestFit="1" customWidth="1"/>
    <col min="4" max="4" width="36.21875" bestFit="1" customWidth="1"/>
    <col min="5" max="5" width="12" bestFit="1" customWidth="1"/>
  </cols>
  <sheetData>
    <row r="3" spans="1:5" x14ac:dyDescent="0.3">
      <c r="A3" s="2" t="s">
        <v>62</v>
      </c>
      <c r="B3" t="s">
        <v>78</v>
      </c>
      <c r="D3" t="s">
        <v>62</v>
      </c>
      <c r="E3" t="s">
        <v>78</v>
      </c>
    </row>
    <row r="4" spans="1:5" x14ac:dyDescent="0.3">
      <c r="A4" s="3" t="s">
        <v>29</v>
      </c>
      <c r="B4">
        <v>0.70287783093124945</v>
      </c>
      <c r="D4" t="s">
        <v>29</v>
      </c>
      <c r="E4">
        <v>0.70287783093124945</v>
      </c>
    </row>
    <row r="5" spans="1:5" x14ac:dyDescent="0.3">
      <c r="A5" s="3" t="s">
        <v>5</v>
      </c>
      <c r="B5">
        <v>0.71224548770862806</v>
      </c>
      <c r="D5" t="s">
        <v>5</v>
      </c>
      <c r="E5">
        <v>0.71224548770862806</v>
      </c>
    </row>
    <row r="6" spans="1:5" x14ac:dyDescent="0.3">
      <c r="A6" s="3" t="s">
        <v>12</v>
      </c>
      <c r="B6">
        <v>0.71335087227705307</v>
      </c>
      <c r="D6" t="s">
        <v>12</v>
      </c>
      <c r="E6">
        <v>0.71335087227705307</v>
      </c>
    </row>
    <row r="7" spans="1:5" x14ac:dyDescent="0.3">
      <c r="A7" s="3" t="s">
        <v>9</v>
      </c>
      <c r="B7">
        <v>0.72550548288007344</v>
      </c>
      <c r="D7" t="s">
        <v>9</v>
      </c>
      <c r="E7">
        <v>0.72550548288007344</v>
      </c>
    </row>
    <row r="8" spans="1:5" x14ac:dyDescent="0.3">
      <c r="A8" s="3" t="s">
        <v>8</v>
      </c>
      <c r="B8">
        <v>0.73247749741773649</v>
      </c>
      <c r="D8" t="s">
        <v>8</v>
      </c>
      <c r="E8">
        <v>0.73247749741773649</v>
      </c>
    </row>
    <row r="9" spans="1:5" x14ac:dyDescent="0.3">
      <c r="A9" s="3" t="s">
        <v>11</v>
      </c>
      <c r="B9">
        <v>0.74168118497929858</v>
      </c>
      <c r="D9" t="s">
        <v>11</v>
      </c>
      <c r="E9">
        <v>0.74168118497929858</v>
      </c>
    </row>
    <row r="10" spans="1:5" x14ac:dyDescent="0.3">
      <c r="A10" s="3" t="s">
        <v>35</v>
      </c>
      <c r="B10">
        <v>0.76869192239375406</v>
      </c>
      <c r="D10" t="s">
        <v>35</v>
      </c>
      <c r="E10">
        <v>0.76869192239375406</v>
      </c>
    </row>
    <row r="11" spans="1:5" x14ac:dyDescent="0.3">
      <c r="A11" s="3" t="s">
        <v>21</v>
      </c>
      <c r="B11">
        <v>0.77589645557192499</v>
      </c>
      <c r="D11" t="s">
        <v>21</v>
      </c>
      <c r="E11">
        <v>0.77589645557192499</v>
      </c>
    </row>
    <row r="12" spans="1:5" x14ac:dyDescent="0.3">
      <c r="A12" s="3" t="s">
        <v>20</v>
      </c>
      <c r="B12">
        <v>0.77864420523170108</v>
      </c>
      <c r="D12" t="s">
        <v>20</v>
      </c>
      <c r="E12">
        <v>0.77864420523170108</v>
      </c>
    </row>
    <row r="13" spans="1:5" x14ac:dyDescent="0.3">
      <c r="A13" s="3" t="s">
        <v>28</v>
      </c>
      <c r="B13">
        <v>0.78487231270317714</v>
      </c>
      <c r="D13" t="s">
        <v>28</v>
      </c>
      <c r="E13">
        <v>0.78487231270317714</v>
      </c>
    </row>
    <row r="14" spans="1:5" x14ac:dyDescent="0.3">
      <c r="A14" s="3" t="s">
        <v>15</v>
      </c>
      <c r="B14">
        <v>0.79125720791257204</v>
      </c>
      <c r="D14" t="s">
        <v>15</v>
      </c>
      <c r="E14">
        <v>0.79125720791257204</v>
      </c>
    </row>
    <row r="15" spans="1:5" x14ac:dyDescent="0.3">
      <c r="A15" s="3" t="s">
        <v>13</v>
      </c>
      <c r="B15">
        <v>0.80354247812018598</v>
      </c>
      <c r="D15" t="s">
        <v>13</v>
      </c>
      <c r="E15">
        <v>0.80354247812018598</v>
      </c>
    </row>
    <row r="16" spans="1:5" x14ac:dyDescent="0.3">
      <c r="A16" s="3" t="s">
        <v>26</v>
      </c>
      <c r="B16">
        <v>0.80850857448092039</v>
      </c>
      <c r="D16" t="s">
        <v>26</v>
      </c>
      <c r="E16">
        <v>0.80850857448092039</v>
      </c>
    </row>
    <row r="17" spans="1:5" x14ac:dyDescent="0.3">
      <c r="A17" s="3" t="s">
        <v>2</v>
      </c>
      <c r="B17">
        <v>0.81187699192131535</v>
      </c>
      <c r="D17" t="s">
        <v>2</v>
      </c>
      <c r="E17">
        <v>0.81187699192131535</v>
      </c>
    </row>
    <row r="18" spans="1:5" x14ac:dyDescent="0.3">
      <c r="A18" s="3" t="s">
        <v>27</v>
      </c>
      <c r="B18">
        <v>0.81576700502798594</v>
      </c>
      <c r="D18" t="s">
        <v>27</v>
      </c>
      <c r="E18">
        <v>0.81576700502798594</v>
      </c>
    </row>
    <row r="19" spans="1:5" x14ac:dyDescent="0.3">
      <c r="A19" s="3" t="s">
        <v>34</v>
      </c>
      <c r="B19">
        <v>0.81739273819917302</v>
      </c>
      <c r="D19" t="s">
        <v>34</v>
      </c>
      <c r="E19">
        <v>0.81739273819917302</v>
      </c>
    </row>
    <row r="20" spans="1:5" x14ac:dyDescent="0.3">
      <c r="A20" s="3" t="s">
        <v>14</v>
      </c>
      <c r="B20">
        <v>0.82209590017246748</v>
      </c>
      <c r="D20" t="s">
        <v>14</v>
      </c>
      <c r="E20">
        <v>0.82209590017246748</v>
      </c>
    </row>
    <row r="21" spans="1:5" x14ac:dyDescent="0.3">
      <c r="A21" s="3" t="s">
        <v>3</v>
      </c>
      <c r="B21">
        <v>0.82545328693110809</v>
      </c>
      <c r="D21" t="s">
        <v>3</v>
      </c>
      <c r="E21">
        <v>0.82545328693110809</v>
      </c>
    </row>
    <row r="22" spans="1:5" x14ac:dyDescent="0.3">
      <c r="A22" s="3" t="s">
        <v>6</v>
      </c>
      <c r="B22">
        <v>0.82837608956087083</v>
      </c>
      <c r="D22" t="s">
        <v>6</v>
      </c>
      <c r="E22">
        <v>0.82837608956087083</v>
      </c>
    </row>
    <row r="23" spans="1:5" x14ac:dyDescent="0.3">
      <c r="A23" s="3" t="s">
        <v>16</v>
      </c>
      <c r="B23">
        <v>0.83894286527916451</v>
      </c>
      <c r="D23" t="s">
        <v>16</v>
      </c>
      <c r="E23">
        <v>0.83894286527916451</v>
      </c>
    </row>
    <row r="24" spans="1:5" x14ac:dyDescent="0.3">
      <c r="A24" s="3" t="s">
        <v>33</v>
      </c>
      <c r="B24">
        <v>0.83932033299121911</v>
      </c>
      <c r="D24" t="s">
        <v>33</v>
      </c>
      <c r="E24">
        <v>0.83932033299121911</v>
      </c>
    </row>
    <row r="25" spans="1:5" x14ac:dyDescent="0.3">
      <c r="A25" s="3" t="s">
        <v>32</v>
      </c>
      <c r="B25">
        <v>0.84062187552538314</v>
      </c>
      <c r="D25" t="s">
        <v>32</v>
      </c>
      <c r="E25">
        <v>0.84062187552538314</v>
      </c>
    </row>
    <row r="26" spans="1:5" x14ac:dyDescent="0.3">
      <c r="A26" s="3" t="s">
        <v>36</v>
      </c>
      <c r="B26">
        <v>0.84825520840791646</v>
      </c>
      <c r="D26" t="s">
        <v>36</v>
      </c>
      <c r="E26">
        <v>0.84825520840791646</v>
      </c>
    </row>
    <row r="27" spans="1:5" x14ac:dyDescent="0.3">
      <c r="A27" s="3" t="s">
        <v>31</v>
      </c>
      <c r="B27">
        <v>0.85215246733644667</v>
      </c>
      <c r="D27" t="s">
        <v>31</v>
      </c>
      <c r="E27">
        <v>0.85215246733644667</v>
      </c>
    </row>
    <row r="28" spans="1:5" x14ac:dyDescent="0.3">
      <c r="A28" s="3" t="s">
        <v>4</v>
      </c>
      <c r="B28">
        <v>0.86240936846898386</v>
      </c>
      <c r="D28" t="s">
        <v>4</v>
      </c>
      <c r="E28">
        <v>0.86240936846898386</v>
      </c>
    </row>
    <row r="29" spans="1:5" x14ac:dyDescent="0.3">
      <c r="A29" s="3" t="s">
        <v>7</v>
      </c>
      <c r="B29">
        <v>0.86481138583306105</v>
      </c>
      <c r="D29" t="s">
        <v>7</v>
      </c>
      <c r="E29">
        <v>0.86481138583306105</v>
      </c>
    </row>
    <row r="30" spans="1:5" x14ac:dyDescent="0.3">
      <c r="A30" s="3" t="s">
        <v>30</v>
      </c>
      <c r="B30">
        <v>0.86848615747103863</v>
      </c>
      <c r="D30" t="s">
        <v>30</v>
      </c>
      <c r="E30">
        <v>0.86848615747103863</v>
      </c>
    </row>
    <row r="31" spans="1:5" x14ac:dyDescent="0.3">
      <c r="A31" s="3" t="s">
        <v>10</v>
      </c>
      <c r="B31">
        <v>0.87224163515389397</v>
      </c>
      <c r="D31" t="s">
        <v>10</v>
      </c>
      <c r="E31">
        <v>0.87224163515389397</v>
      </c>
    </row>
    <row r="32" spans="1:5" x14ac:dyDescent="0.3">
      <c r="A32" s="3" t="s">
        <v>18</v>
      </c>
      <c r="B32">
        <v>0.90475580874351913</v>
      </c>
      <c r="D32" t="s">
        <v>18</v>
      </c>
      <c r="E32">
        <v>0.90475580874351913</v>
      </c>
    </row>
    <row r="33" spans="1:5" x14ac:dyDescent="0.3">
      <c r="A33" s="3" t="s">
        <v>17</v>
      </c>
      <c r="B33">
        <v>0.93021625225349414</v>
      </c>
      <c r="D33" t="s">
        <v>17</v>
      </c>
      <c r="E33">
        <v>0.93021625225349414</v>
      </c>
    </row>
    <row r="34" spans="1:5" x14ac:dyDescent="0.3">
      <c r="A34" s="3" t="s">
        <v>1</v>
      </c>
      <c r="B34">
        <v>0.93291209812302545</v>
      </c>
      <c r="D34" t="s">
        <v>1</v>
      </c>
      <c r="E34">
        <v>0.93291209812302545</v>
      </c>
    </row>
    <row r="35" spans="1:5" x14ac:dyDescent="0.3">
      <c r="A35" s="3" t="s">
        <v>25</v>
      </c>
      <c r="B35">
        <v>0.93331778145367661</v>
      </c>
      <c r="D35" t="s">
        <v>25</v>
      </c>
      <c r="E35">
        <v>0.93331778145367661</v>
      </c>
    </row>
    <row r="36" spans="1:5" x14ac:dyDescent="0.3">
      <c r="A36" s="3" t="s">
        <v>22</v>
      </c>
      <c r="B36">
        <v>0.94357669873083716</v>
      </c>
      <c r="D36" t="s">
        <v>22</v>
      </c>
      <c r="E36">
        <v>0.94357669873083716</v>
      </c>
    </row>
    <row r="37" spans="1:5" x14ac:dyDescent="0.3">
      <c r="A37" s="3" t="s">
        <v>24</v>
      </c>
      <c r="B37">
        <v>0.99787416823191954</v>
      </c>
      <c r="D37" t="s">
        <v>24</v>
      </c>
      <c r="E37">
        <v>0.99787416823191954</v>
      </c>
    </row>
    <row r="38" spans="1:5" x14ac:dyDescent="0.3">
      <c r="A38" s="3" t="s">
        <v>23</v>
      </c>
      <c r="B38">
        <v>1.041048846821653</v>
      </c>
      <c r="D38" t="s">
        <v>23</v>
      </c>
      <c r="E38">
        <v>1.041048846821653</v>
      </c>
    </row>
    <row r="39" spans="1:5" x14ac:dyDescent="0.3">
      <c r="A39" s="3" t="s">
        <v>63</v>
      </c>
      <c r="B39">
        <v>29.131456475246431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E3FE-2BBD-4BDA-ABF6-A28AE4EE7852}">
  <dimension ref="A1:F36"/>
  <sheetViews>
    <sheetView workbookViewId="0">
      <selection activeCell="E1" sqref="E1:F36"/>
    </sheetView>
  </sheetViews>
  <sheetFormatPr defaultRowHeight="14.4" x14ac:dyDescent="0.3"/>
  <cols>
    <col min="1" max="1" width="36.21875" bestFit="1" customWidth="1"/>
    <col min="2" max="2" width="11.33203125" bestFit="1" customWidth="1"/>
    <col min="4" max="4" width="11.33203125" bestFit="1" customWidth="1"/>
    <col min="5" max="5" width="36.21875" bestFit="1" customWidth="1"/>
  </cols>
  <sheetData>
    <row r="1" spans="1:6" x14ac:dyDescent="0.3">
      <c r="A1" t="s">
        <v>37</v>
      </c>
      <c r="B1" t="s">
        <v>75</v>
      </c>
      <c r="E1" t="s">
        <v>37</v>
      </c>
      <c r="F1" t="s">
        <v>77</v>
      </c>
    </row>
    <row r="2" spans="1:6" x14ac:dyDescent="0.3">
      <c r="A2" t="s">
        <v>1</v>
      </c>
      <c r="B2">
        <v>722</v>
      </c>
      <c r="E2" t="s">
        <v>1</v>
      </c>
      <c r="F2">
        <v>0.93291209812302545</v>
      </c>
    </row>
    <row r="3" spans="1:6" x14ac:dyDescent="0.3">
      <c r="A3" t="s">
        <v>2</v>
      </c>
      <c r="B3">
        <v>344894</v>
      </c>
      <c r="E3" t="s">
        <v>2</v>
      </c>
      <c r="F3">
        <v>0.81187699192131535</v>
      </c>
    </row>
    <row r="4" spans="1:6" x14ac:dyDescent="0.3">
      <c r="A4" t="s">
        <v>3</v>
      </c>
      <c r="B4">
        <v>9078</v>
      </c>
      <c r="E4" t="s">
        <v>3</v>
      </c>
      <c r="F4">
        <v>0.82545328693110809</v>
      </c>
    </row>
    <row r="5" spans="1:6" x14ac:dyDescent="0.3">
      <c r="A5" t="s">
        <v>4</v>
      </c>
      <c r="B5">
        <v>117845</v>
      </c>
      <c r="E5" t="s">
        <v>4</v>
      </c>
      <c r="F5">
        <v>0.86240936846898386</v>
      </c>
    </row>
    <row r="6" spans="1:6" x14ac:dyDescent="0.3">
      <c r="A6" t="s">
        <v>5</v>
      </c>
      <c r="B6">
        <v>555639</v>
      </c>
      <c r="E6" t="s">
        <v>5</v>
      </c>
      <c r="F6">
        <v>0.71224548770862806</v>
      </c>
    </row>
    <row r="7" spans="1:6" x14ac:dyDescent="0.3">
      <c r="A7" t="s">
        <v>6</v>
      </c>
      <c r="B7">
        <v>8309</v>
      </c>
      <c r="E7" t="s">
        <v>6</v>
      </c>
      <c r="F7">
        <v>0.82837608956087083</v>
      </c>
    </row>
    <row r="8" spans="1:6" x14ac:dyDescent="0.3">
      <c r="A8" t="s">
        <v>7</v>
      </c>
      <c r="B8">
        <v>119152</v>
      </c>
      <c r="E8" t="s">
        <v>7</v>
      </c>
      <c r="F8">
        <v>0.86481138583306105</v>
      </c>
    </row>
    <row r="9" spans="1:6" x14ac:dyDescent="0.3">
      <c r="A9" t="s">
        <v>8</v>
      </c>
      <c r="B9">
        <v>5439</v>
      </c>
      <c r="E9" t="s">
        <v>8</v>
      </c>
      <c r="F9">
        <v>0.73247749741773649</v>
      </c>
    </row>
    <row r="10" spans="1:6" x14ac:dyDescent="0.3">
      <c r="A10" t="s">
        <v>9</v>
      </c>
      <c r="B10">
        <v>258430</v>
      </c>
      <c r="E10" t="s">
        <v>9</v>
      </c>
      <c r="F10">
        <v>0.72550548288007344</v>
      </c>
    </row>
    <row r="11" spans="1:6" x14ac:dyDescent="0.3">
      <c r="A11" t="s">
        <v>10</v>
      </c>
      <c r="B11">
        <v>2669</v>
      </c>
      <c r="E11" t="s">
        <v>10</v>
      </c>
      <c r="F11">
        <v>0.87224163515389397</v>
      </c>
    </row>
    <row r="12" spans="1:6" x14ac:dyDescent="0.3">
      <c r="A12" t="s">
        <v>11</v>
      </c>
      <c r="B12">
        <v>616366</v>
      </c>
      <c r="E12" t="s">
        <v>11</v>
      </c>
      <c r="F12">
        <v>0.74168118497929858</v>
      </c>
    </row>
    <row r="13" spans="1:6" x14ac:dyDescent="0.3">
      <c r="A13" t="s">
        <v>12</v>
      </c>
      <c r="B13">
        <v>552413</v>
      </c>
      <c r="E13" t="s">
        <v>12</v>
      </c>
      <c r="F13">
        <v>0.71335087227705307</v>
      </c>
    </row>
    <row r="14" spans="1:6" x14ac:dyDescent="0.3">
      <c r="A14" t="s">
        <v>13</v>
      </c>
      <c r="B14">
        <v>58408</v>
      </c>
      <c r="E14" t="s">
        <v>13</v>
      </c>
      <c r="F14">
        <v>0.80354247812018598</v>
      </c>
    </row>
    <row r="15" spans="1:6" x14ac:dyDescent="0.3">
      <c r="A15" t="s">
        <v>14</v>
      </c>
      <c r="B15">
        <v>120585</v>
      </c>
      <c r="E15" t="s">
        <v>14</v>
      </c>
      <c r="F15">
        <v>0.82209590017246748</v>
      </c>
    </row>
    <row r="16" spans="1:6" x14ac:dyDescent="0.3">
      <c r="A16" t="s">
        <v>15</v>
      </c>
      <c r="B16">
        <v>152367</v>
      </c>
      <c r="E16" t="s">
        <v>15</v>
      </c>
      <c r="F16">
        <v>0.79125720791257204</v>
      </c>
    </row>
    <row r="17" spans="1:6" x14ac:dyDescent="0.3">
      <c r="A17" t="s">
        <v>16</v>
      </c>
      <c r="B17">
        <v>451323</v>
      </c>
      <c r="E17" t="s">
        <v>16</v>
      </c>
      <c r="F17">
        <v>0.83894286527916451</v>
      </c>
    </row>
    <row r="18" spans="1:6" x14ac:dyDescent="0.3">
      <c r="A18" t="s">
        <v>17</v>
      </c>
      <c r="B18">
        <v>58721</v>
      </c>
      <c r="E18" t="s">
        <v>17</v>
      </c>
      <c r="F18">
        <v>0.93021625225349414</v>
      </c>
    </row>
    <row r="19" spans="1:6" x14ac:dyDescent="0.3">
      <c r="A19" t="s">
        <v>18</v>
      </c>
      <c r="B19">
        <v>1488</v>
      </c>
      <c r="E19" t="s">
        <v>18</v>
      </c>
      <c r="F19">
        <v>0.90475580874351913</v>
      </c>
    </row>
    <row r="20" spans="1:6" x14ac:dyDescent="0.3">
      <c r="A20" t="s">
        <v>20</v>
      </c>
      <c r="B20">
        <v>811862</v>
      </c>
      <c r="E20" t="s">
        <v>20</v>
      </c>
      <c r="F20">
        <v>0.77864420523170108</v>
      </c>
    </row>
    <row r="21" spans="1:6" x14ac:dyDescent="0.3">
      <c r="A21" t="s">
        <v>21</v>
      </c>
      <c r="B21">
        <v>806669</v>
      </c>
      <c r="E21" t="s">
        <v>21</v>
      </c>
      <c r="F21">
        <v>0.77589645557192499</v>
      </c>
    </row>
    <row r="22" spans="1:6" x14ac:dyDescent="0.3">
      <c r="A22" t="s">
        <v>22</v>
      </c>
      <c r="B22">
        <v>12488</v>
      </c>
      <c r="E22" t="s">
        <v>22</v>
      </c>
      <c r="F22">
        <v>0.94357669873083716</v>
      </c>
    </row>
    <row r="23" spans="1:6" x14ac:dyDescent="0.3">
      <c r="A23" t="s">
        <v>23</v>
      </c>
      <c r="B23">
        <v>-5343</v>
      </c>
      <c r="E23" t="s">
        <v>23</v>
      </c>
      <c r="F23">
        <v>1.041048846821653</v>
      </c>
    </row>
    <row r="24" spans="1:6" x14ac:dyDescent="0.3">
      <c r="A24" t="s">
        <v>24</v>
      </c>
      <c r="B24">
        <v>146</v>
      </c>
      <c r="E24" t="s">
        <v>24</v>
      </c>
      <c r="F24">
        <v>0.99787416823191954</v>
      </c>
    </row>
    <row r="25" spans="1:6" x14ac:dyDescent="0.3">
      <c r="A25" t="s">
        <v>25</v>
      </c>
      <c r="B25">
        <v>9433</v>
      </c>
      <c r="E25" t="s">
        <v>25</v>
      </c>
      <c r="F25">
        <v>0.93331778145367661</v>
      </c>
    </row>
    <row r="26" spans="1:6" x14ac:dyDescent="0.3">
      <c r="A26" t="s">
        <v>26</v>
      </c>
      <c r="B26">
        <v>144113</v>
      </c>
      <c r="E26" t="s">
        <v>26</v>
      </c>
      <c r="F26">
        <v>0.80850857448092039</v>
      </c>
    </row>
    <row r="27" spans="1:6" x14ac:dyDescent="0.3">
      <c r="A27" t="s">
        <v>27</v>
      </c>
      <c r="B27">
        <v>13594</v>
      </c>
      <c r="E27" t="s">
        <v>27</v>
      </c>
      <c r="F27">
        <v>0.81576700502798594</v>
      </c>
    </row>
    <row r="28" spans="1:6" x14ac:dyDescent="0.3">
      <c r="A28" t="s">
        <v>28</v>
      </c>
      <c r="B28">
        <v>345241</v>
      </c>
      <c r="E28" t="s">
        <v>28</v>
      </c>
      <c r="F28">
        <v>0.78487231270317714</v>
      </c>
    </row>
    <row r="29" spans="1:6" x14ac:dyDescent="0.3">
      <c r="A29" t="s">
        <v>29</v>
      </c>
      <c r="B29">
        <v>1323438</v>
      </c>
      <c r="E29" t="s">
        <v>29</v>
      </c>
      <c r="F29">
        <v>0.70287783093124945</v>
      </c>
    </row>
    <row r="30" spans="1:6" x14ac:dyDescent="0.3">
      <c r="A30" t="s">
        <v>30</v>
      </c>
      <c r="B30">
        <v>3349</v>
      </c>
      <c r="E30" t="s">
        <v>30</v>
      </c>
      <c r="F30">
        <v>0.86848615747103863</v>
      </c>
    </row>
    <row r="31" spans="1:6" x14ac:dyDescent="0.3">
      <c r="A31" t="s">
        <v>31</v>
      </c>
      <c r="B31">
        <v>417479</v>
      </c>
      <c r="E31" t="s">
        <v>31</v>
      </c>
      <c r="F31">
        <v>0.85215246733644667</v>
      </c>
    </row>
    <row r="32" spans="1:6" x14ac:dyDescent="0.3">
      <c r="A32" t="s">
        <v>32</v>
      </c>
      <c r="B32">
        <v>304304</v>
      </c>
      <c r="E32" t="s">
        <v>32</v>
      </c>
      <c r="F32">
        <v>0.84062187552538314</v>
      </c>
    </row>
    <row r="33" spans="1:6" x14ac:dyDescent="0.3">
      <c r="A33" t="s">
        <v>33</v>
      </c>
      <c r="B33">
        <v>11272</v>
      </c>
      <c r="E33" t="s">
        <v>33</v>
      </c>
      <c r="F33">
        <v>0.83932033299121911</v>
      </c>
    </row>
    <row r="34" spans="1:6" x14ac:dyDescent="0.3">
      <c r="A34" t="s">
        <v>34</v>
      </c>
      <c r="B34">
        <v>2119620</v>
      </c>
      <c r="E34" t="s">
        <v>34</v>
      </c>
      <c r="F34">
        <v>0.81739273819917302</v>
      </c>
    </row>
    <row r="35" spans="1:6" x14ac:dyDescent="0.3">
      <c r="A35" t="s">
        <v>35</v>
      </c>
      <c r="B35">
        <v>161998</v>
      </c>
      <c r="E35" t="s">
        <v>35</v>
      </c>
      <c r="F35">
        <v>0.76869192239375406</v>
      </c>
    </row>
    <row r="36" spans="1:6" x14ac:dyDescent="0.3">
      <c r="A36" t="s">
        <v>36</v>
      </c>
      <c r="B36">
        <v>158951</v>
      </c>
      <c r="E36" t="s">
        <v>36</v>
      </c>
      <c r="F36">
        <v>0.84825520840791646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1DF4-74A3-447D-ADA3-7A40E5172F65}">
  <dimension ref="A3:E40"/>
  <sheetViews>
    <sheetView workbookViewId="0">
      <selection activeCell="F25" sqref="F25"/>
    </sheetView>
  </sheetViews>
  <sheetFormatPr defaultRowHeight="14.4" x14ac:dyDescent="0.3"/>
  <cols>
    <col min="1" max="1" width="36.21875" bestFit="1" customWidth="1"/>
    <col min="2" max="2" width="18.109375" bestFit="1" customWidth="1"/>
    <col min="4" max="4" width="14.33203125" bestFit="1" customWidth="1"/>
    <col min="5" max="5" width="18.109375" bestFit="1" customWidth="1"/>
  </cols>
  <sheetData>
    <row r="3" spans="1:5" x14ac:dyDescent="0.3">
      <c r="A3" s="2" t="s">
        <v>62</v>
      </c>
      <c r="B3" t="s">
        <v>76</v>
      </c>
      <c r="D3" s="4" t="s">
        <v>62</v>
      </c>
      <c r="E3" s="4" t="s">
        <v>76</v>
      </c>
    </row>
    <row r="4" spans="1:5" x14ac:dyDescent="0.3">
      <c r="A4" s="3" t="s">
        <v>34</v>
      </c>
      <c r="B4">
        <v>2119620</v>
      </c>
      <c r="D4" s="3" t="s">
        <v>34</v>
      </c>
      <c r="E4">
        <v>2119620</v>
      </c>
    </row>
    <row r="5" spans="1:5" x14ac:dyDescent="0.3">
      <c r="A5" s="3" t="s">
        <v>29</v>
      </c>
      <c r="B5">
        <v>1323438</v>
      </c>
      <c r="D5" s="3" t="s">
        <v>29</v>
      </c>
      <c r="E5">
        <v>1323438</v>
      </c>
    </row>
    <row r="6" spans="1:5" x14ac:dyDescent="0.3">
      <c r="A6" s="3" t="s">
        <v>20</v>
      </c>
      <c r="B6">
        <v>811862</v>
      </c>
      <c r="D6" s="3" t="s">
        <v>20</v>
      </c>
      <c r="E6">
        <v>811862</v>
      </c>
    </row>
    <row r="7" spans="1:5" x14ac:dyDescent="0.3">
      <c r="A7" s="3" t="s">
        <v>21</v>
      </c>
      <c r="B7">
        <v>806669</v>
      </c>
      <c r="D7" s="3" t="s">
        <v>21</v>
      </c>
      <c r="E7">
        <v>806669</v>
      </c>
    </row>
    <row r="8" spans="1:5" x14ac:dyDescent="0.3">
      <c r="A8" s="3" t="s">
        <v>11</v>
      </c>
      <c r="B8">
        <v>616366</v>
      </c>
      <c r="D8" s="3" t="s">
        <v>11</v>
      </c>
      <c r="E8">
        <v>616366</v>
      </c>
    </row>
    <row r="9" spans="1:5" x14ac:dyDescent="0.3">
      <c r="A9" s="3" t="s">
        <v>5</v>
      </c>
      <c r="B9">
        <v>555639</v>
      </c>
      <c r="D9" s="3" t="s">
        <v>5</v>
      </c>
      <c r="E9">
        <v>555639</v>
      </c>
    </row>
    <row r="10" spans="1:5" x14ac:dyDescent="0.3">
      <c r="A10" s="3" t="s">
        <v>12</v>
      </c>
      <c r="B10">
        <v>552413</v>
      </c>
      <c r="D10" s="3" t="s">
        <v>12</v>
      </c>
      <c r="E10">
        <v>552413</v>
      </c>
    </row>
    <row r="11" spans="1:5" x14ac:dyDescent="0.3">
      <c r="A11" s="3" t="s">
        <v>16</v>
      </c>
      <c r="B11">
        <v>451323</v>
      </c>
    </row>
    <row r="12" spans="1:5" x14ac:dyDescent="0.3">
      <c r="A12" s="3" t="s">
        <v>31</v>
      </c>
      <c r="B12">
        <v>417479</v>
      </c>
    </row>
    <row r="13" spans="1:5" x14ac:dyDescent="0.3">
      <c r="A13" s="3" t="s">
        <v>28</v>
      </c>
      <c r="B13">
        <v>345241</v>
      </c>
    </row>
    <row r="14" spans="1:5" x14ac:dyDescent="0.3">
      <c r="A14" s="3" t="s">
        <v>2</v>
      </c>
      <c r="B14">
        <v>344894</v>
      </c>
    </row>
    <row r="15" spans="1:5" x14ac:dyDescent="0.3">
      <c r="A15" s="3" t="s">
        <v>32</v>
      </c>
      <c r="B15">
        <v>304304</v>
      </c>
    </row>
    <row r="16" spans="1:5" x14ac:dyDescent="0.3">
      <c r="A16" s="3" t="s">
        <v>9</v>
      </c>
      <c r="B16">
        <v>258430</v>
      </c>
    </row>
    <row r="17" spans="1:2" x14ac:dyDescent="0.3">
      <c r="A17" s="3" t="s">
        <v>35</v>
      </c>
      <c r="B17">
        <v>161998</v>
      </c>
    </row>
    <row r="18" spans="1:2" x14ac:dyDescent="0.3">
      <c r="A18" s="3" t="s">
        <v>36</v>
      </c>
      <c r="B18">
        <v>158951</v>
      </c>
    </row>
    <row r="19" spans="1:2" x14ac:dyDescent="0.3">
      <c r="A19" s="3" t="s">
        <v>15</v>
      </c>
      <c r="B19">
        <v>152367</v>
      </c>
    </row>
    <row r="20" spans="1:2" x14ac:dyDescent="0.3">
      <c r="A20" s="3" t="s">
        <v>26</v>
      </c>
      <c r="B20">
        <v>144113</v>
      </c>
    </row>
    <row r="21" spans="1:2" x14ac:dyDescent="0.3">
      <c r="A21" s="3" t="s">
        <v>14</v>
      </c>
      <c r="B21">
        <v>120585</v>
      </c>
    </row>
    <row r="22" spans="1:2" x14ac:dyDescent="0.3">
      <c r="A22" s="3" t="s">
        <v>7</v>
      </c>
      <c r="B22">
        <v>119152</v>
      </c>
    </row>
    <row r="23" spans="1:2" x14ac:dyDescent="0.3">
      <c r="A23" s="3" t="s">
        <v>4</v>
      </c>
      <c r="B23">
        <v>117845</v>
      </c>
    </row>
    <row r="24" spans="1:2" x14ac:dyDescent="0.3">
      <c r="A24" s="3" t="s">
        <v>17</v>
      </c>
      <c r="B24">
        <v>58721</v>
      </c>
    </row>
    <row r="25" spans="1:2" x14ac:dyDescent="0.3">
      <c r="A25" s="3" t="s">
        <v>13</v>
      </c>
      <c r="B25">
        <v>58408</v>
      </c>
    </row>
    <row r="26" spans="1:2" x14ac:dyDescent="0.3">
      <c r="A26" s="3" t="s">
        <v>27</v>
      </c>
      <c r="B26">
        <v>13594</v>
      </c>
    </row>
    <row r="27" spans="1:2" x14ac:dyDescent="0.3">
      <c r="A27" s="3" t="s">
        <v>22</v>
      </c>
      <c r="B27">
        <v>12488</v>
      </c>
    </row>
    <row r="28" spans="1:2" x14ac:dyDescent="0.3">
      <c r="A28" s="3" t="s">
        <v>33</v>
      </c>
      <c r="B28">
        <v>11272</v>
      </c>
    </row>
    <row r="29" spans="1:2" x14ac:dyDescent="0.3">
      <c r="A29" s="3" t="s">
        <v>25</v>
      </c>
      <c r="B29">
        <v>9433</v>
      </c>
    </row>
    <row r="30" spans="1:2" x14ac:dyDescent="0.3">
      <c r="A30" s="3" t="s">
        <v>3</v>
      </c>
      <c r="B30">
        <v>9078</v>
      </c>
    </row>
    <row r="31" spans="1:2" x14ac:dyDescent="0.3">
      <c r="A31" s="3" t="s">
        <v>6</v>
      </c>
      <c r="B31">
        <v>8309</v>
      </c>
    </row>
    <row r="32" spans="1:2" x14ac:dyDescent="0.3">
      <c r="A32" s="3" t="s">
        <v>8</v>
      </c>
      <c r="B32">
        <v>5439</v>
      </c>
    </row>
    <row r="33" spans="1:2" x14ac:dyDescent="0.3">
      <c r="A33" s="3" t="s">
        <v>30</v>
      </c>
      <c r="B33">
        <v>3349</v>
      </c>
    </row>
    <row r="34" spans="1:2" x14ac:dyDescent="0.3">
      <c r="A34" s="3" t="s">
        <v>10</v>
      </c>
      <c r="B34">
        <v>2669</v>
      </c>
    </row>
    <row r="35" spans="1:2" x14ac:dyDescent="0.3">
      <c r="A35" s="3" t="s">
        <v>18</v>
      </c>
      <c r="B35">
        <v>1488</v>
      </c>
    </row>
    <row r="36" spans="1:2" x14ac:dyDescent="0.3">
      <c r="A36" s="3" t="s">
        <v>1</v>
      </c>
      <c r="B36">
        <v>722</v>
      </c>
    </row>
    <row r="37" spans="1:2" x14ac:dyDescent="0.3">
      <c r="A37" s="3" t="s">
        <v>24</v>
      </c>
      <c r="B37">
        <v>146</v>
      </c>
    </row>
    <row r="38" spans="1:2" x14ac:dyDescent="0.3">
      <c r="A38" s="3" t="s">
        <v>19</v>
      </c>
      <c r="B38">
        <v>0</v>
      </c>
    </row>
    <row r="39" spans="1:2" x14ac:dyDescent="0.3">
      <c r="A39" s="3" t="s">
        <v>23</v>
      </c>
      <c r="B39">
        <v>-5343</v>
      </c>
    </row>
    <row r="40" spans="1:2" x14ac:dyDescent="0.3">
      <c r="A40" s="3" t="s">
        <v>63</v>
      </c>
      <c r="B40">
        <v>10072462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4D96-9107-4FE0-AAB6-80DA235C507E}">
  <dimension ref="A1:G5"/>
  <sheetViews>
    <sheetView workbookViewId="0">
      <selection activeCell="E21" sqref="E21"/>
    </sheetView>
  </sheetViews>
  <sheetFormatPr defaultRowHeight="14.4" x14ac:dyDescent="0.3"/>
  <cols>
    <col min="1" max="1" width="12.44140625" bestFit="1" customWidth="1"/>
    <col min="2" max="2" width="21" bestFit="1" customWidth="1"/>
    <col min="3" max="3" width="23.21875" bestFit="1" customWidth="1"/>
    <col min="4" max="4" width="21.5546875" bestFit="1" customWidth="1"/>
    <col min="5" max="5" width="24.21875" bestFit="1" customWidth="1"/>
    <col min="6" max="6" width="15.21875" bestFit="1" customWidth="1"/>
  </cols>
  <sheetData>
    <row r="1" spans="1:7" x14ac:dyDescent="0.3">
      <c r="F1" t="s">
        <v>69</v>
      </c>
      <c r="G1" t="s">
        <v>70</v>
      </c>
    </row>
    <row r="2" spans="1:7" x14ac:dyDescent="0.3">
      <c r="F2" t="s">
        <v>71</v>
      </c>
      <c r="G2">
        <f>GETPIVOTDATA("Sum of Pri (1 to 5) - Total",$A$3,"State","India")</f>
        <v>38936394</v>
      </c>
    </row>
    <row r="3" spans="1:7" x14ac:dyDescent="0.3">
      <c r="A3" s="2" t="s">
        <v>62</v>
      </c>
      <c r="B3" t="s">
        <v>65</v>
      </c>
      <c r="C3" t="s">
        <v>66</v>
      </c>
      <c r="D3" t="s">
        <v>67</v>
      </c>
      <c r="E3" t="s">
        <v>68</v>
      </c>
      <c r="F3" t="s">
        <v>72</v>
      </c>
      <c r="G3">
        <f>GETPIVOTDATA("Sum of  UppPri (6-8) - Total",$A$3,"State","India")</f>
        <v>20013229</v>
      </c>
    </row>
    <row r="4" spans="1:7" x14ac:dyDescent="0.3">
      <c r="A4" s="3" t="s">
        <v>0</v>
      </c>
      <c r="B4">
        <v>38936394</v>
      </c>
      <c r="C4">
        <v>20013229</v>
      </c>
      <c r="D4">
        <v>12847281</v>
      </c>
      <c r="E4">
        <v>10653421</v>
      </c>
      <c r="F4" t="s">
        <v>73</v>
      </c>
      <c r="G4">
        <f>GETPIVOTDATA("Sum of  Sec (9-10) - Total",$A$3,"State","India")</f>
        <v>12847281</v>
      </c>
    </row>
    <row r="5" spans="1:7" x14ac:dyDescent="0.3">
      <c r="A5" s="3" t="s">
        <v>63</v>
      </c>
      <c r="B5">
        <v>38936394</v>
      </c>
      <c r="C5">
        <v>20013229</v>
      </c>
      <c r="D5">
        <v>12847281</v>
      </c>
      <c r="E5">
        <v>10653421</v>
      </c>
      <c r="F5" t="s">
        <v>74</v>
      </c>
      <c r="G5">
        <f>GETPIVOTDATA("Sum of  H Sec (11-12) - Total",$A$3,"State","India")</f>
        <v>10653421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48C71-78DA-46A5-BF52-FDF05F06C953}">
  <dimension ref="A2:B12"/>
  <sheetViews>
    <sheetView workbookViewId="0">
      <selection activeCell="B14" sqref="B14"/>
    </sheetView>
  </sheetViews>
  <sheetFormatPr defaultRowHeight="14.4" x14ac:dyDescent="0.3"/>
  <cols>
    <col min="1" max="1" width="17.88671875" bestFit="1" customWidth="1"/>
    <col min="2" max="2" width="11.6640625" bestFit="1" customWidth="1"/>
  </cols>
  <sheetData>
    <row r="2" spans="1:2" x14ac:dyDescent="0.3">
      <c r="A2" s="5" t="s">
        <v>79</v>
      </c>
      <c r="B2" s="5" t="s">
        <v>80</v>
      </c>
    </row>
    <row r="3" spans="1:2" x14ac:dyDescent="0.3">
      <c r="A3" s="5"/>
      <c r="B3" s="5"/>
    </row>
    <row r="5" spans="1:2" x14ac:dyDescent="0.3">
      <c r="A5" s="6" t="s">
        <v>81</v>
      </c>
      <c r="B5" s="6" t="s">
        <v>82</v>
      </c>
    </row>
    <row r="6" spans="1:2" x14ac:dyDescent="0.3">
      <c r="A6" s="6"/>
      <c r="B6" s="6"/>
    </row>
    <row r="8" spans="1:2" x14ac:dyDescent="0.3">
      <c r="A8" s="7" t="s">
        <v>83</v>
      </c>
      <c r="B8" s="7">
        <v>72.599999999999994</v>
      </c>
    </row>
    <row r="9" spans="1:2" x14ac:dyDescent="0.3">
      <c r="A9" s="7"/>
      <c r="B9" s="7"/>
    </row>
    <row r="11" spans="1:2" x14ac:dyDescent="0.3">
      <c r="A11" s="8" t="s">
        <v>84</v>
      </c>
      <c r="B11" s="8" t="s">
        <v>85</v>
      </c>
    </row>
    <row r="12" spans="1:2" x14ac:dyDescent="0.3">
      <c r="A12" s="8"/>
      <c r="B12" s="8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5DEA-CEEE-4961-B8BA-A57806445A7F}">
  <dimension ref="B1:H20"/>
  <sheetViews>
    <sheetView tabSelected="1" workbookViewId="0">
      <selection activeCell="E23" sqref="E23"/>
    </sheetView>
  </sheetViews>
  <sheetFormatPr defaultRowHeight="14.4" x14ac:dyDescent="0.3"/>
  <cols>
    <col min="1" max="1" width="4.33203125" customWidth="1"/>
    <col min="7" max="7" width="36.44140625" customWidth="1"/>
    <col min="8" max="8" width="18" customWidth="1"/>
    <col min="9" max="9" width="52.88671875" customWidth="1"/>
  </cols>
  <sheetData>
    <row r="1" spans="2:8" ht="15" thickBot="1" x14ac:dyDescent="0.35"/>
    <row r="2" spans="2:8" ht="21.6" thickBot="1" x14ac:dyDescent="0.45">
      <c r="B2" s="9" t="s">
        <v>86</v>
      </c>
      <c r="C2" s="10"/>
      <c r="D2" s="10"/>
      <c r="E2" s="10"/>
      <c r="F2" s="10"/>
      <c r="G2" s="10"/>
      <c r="H2" s="11"/>
    </row>
    <row r="3" spans="2:8" ht="18" x14ac:dyDescent="0.35">
      <c r="B3" s="12" t="s">
        <v>87</v>
      </c>
      <c r="C3" s="13"/>
      <c r="D3" s="14"/>
      <c r="E3" s="14"/>
      <c r="F3" s="14"/>
      <c r="G3" s="14"/>
      <c r="H3" s="15"/>
    </row>
    <row r="4" spans="2:8" ht="15.6" x14ac:dyDescent="0.3">
      <c r="B4" s="16" t="s">
        <v>88</v>
      </c>
      <c r="C4" s="17"/>
      <c r="D4" s="17"/>
      <c r="E4" s="17"/>
      <c r="F4" s="17"/>
      <c r="G4" s="17"/>
      <c r="H4" s="15"/>
    </row>
    <row r="5" spans="2:8" ht="15.6" x14ac:dyDescent="0.3">
      <c r="B5" s="16" t="s">
        <v>89</v>
      </c>
      <c r="C5" s="17"/>
      <c r="D5" s="17"/>
      <c r="E5" s="17"/>
      <c r="F5" s="17"/>
      <c r="G5" s="17"/>
      <c r="H5" s="15"/>
    </row>
    <row r="6" spans="2:8" ht="15.6" x14ac:dyDescent="0.3">
      <c r="B6" s="16" t="s">
        <v>90</v>
      </c>
      <c r="C6" s="17"/>
      <c r="D6" s="17"/>
      <c r="E6" s="17"/>
      <c r="F6" s="17"/>
      <c r="G6" s="17"/>
      <c r="H6" s="15"/>
    </row>
    <row r="7" spans="2:8" ht="15.6" x14ac:dyDescent="0.3">
      <c r="B7" s="16" t="s">
        <v>91</v>
      </c>
      <c r="C7" s="17"/>
      <c r="D7" s="17"/>
      <c r="E7" s="17"/>
      <c r="F7" s="17"/>
      <c r="G7" s="17"/>
      <c r="H7" s="15"/>
    </row>
    <row r="8" spans="2:8" ht="15.6" x14ac:dyDescent="0.3">
      <c r="B8" s="16" t="s">
        <v>92</v>
      </c>
      <c r="C8" s="17"/>
      <c r="D8" s="17"/>
      <c r="E8" s="17"/>
      <c r="F8" s="17"/>
      <c r="G8" s="17"/>
      <c r="H8" s="15"/>
    </row>
    <row r="9" spans="2:8" ht="15.6" x14ac:dyDescent="0.3">
      <c r="B9" s="16" t="s">
        <v>93</v>
      </c>
      <c r="C9" s="17"/>
      <c r="D9" s="17"/>
      <c r="E9" s="17"/>
      <c r="F9" s="17"/>
      <c r="G9" s="17"/>
      <c r="H9" s="15"/>
    </row>
    <row r="10" spans="2:8" ht="15.6" x14ac:dyDescent="0.3">
      <c r="B10" s="16" t="s">
        <v>94</v>
      </c>
      <c r="C10" s="17"/>
      <c r="D10" s="17"/>
      <c r="E10" s="17"/>
      <c r="F10" s="17"/>
      <c r="G10" s="17"/>
      <c r="H10" s="15"/>
    </row>
    <row r="11" spans="2:8" ht="15.6" x14ac:dyDescent="0.3">
      <c r="B11" s="16" t="s">
        <v>95</v>
      </c>
      <c r="C11" s="17"/>
      <c r="D11" s="17"/>
      <c r="E11" s="17"/>
      <c r="F11" s="17"/>
      <c r="G11" s="17"/>
      <c r="H11" s="15"/>
    </row>
    <row r="12" spans="2:8" x14ac:dyDescent="0.3">
      <c r="B12" s="18"/>
      <c r="C12" s="14"/>
      <c r="D12" s="14"/>
      <c r="E12" s="14"/>
      <c r="F12" s="14"/>
      <c r="G12" s="14"/>
      <c r="H12" s="15"/>
    </row>
    <row r="13" spans="2:8" ht="18" x14ac:dyDescent="0.35">
      <c r="B13" s="12" t="s">
        <v>96</v>
      </c>
      <c r="C13" s="14"/>
      <c r="D13" s="14"/>
      <c r="E13" s="14"/>
      <c r="F13" s="14"/>
      <c r="G13" s="14"/>
      <c r="H13" s="15"/>
    </row>
    <row r="14" spans="2:8" ht="15.6" x14ac:dyDescent="0.3">
      <c r="B14" s="16" t="s">
        <v>97</v>
      </c>
      <c r="C14" s="17"/>
      <c r="D14" s="17"/>
      <c r="E14" s="17"/>
      <c r="F14" s="17"/>
      <c r="G14" s="17"/>
      <c r="H14" s="15"/>
    </row>
    <row r="15" spans="2:8" ht="15.6" x14ac:dyDescent="0.3">
      <c r="B15" s="16" t="s">
        <v>98</v>
      </c>
      <c r="C15" s="17"/>
      <c r="D15" s="17"/>
      <c r="E15" s="17"/>
      <c r="F15" s="17"/>
      <c r="G15" s="17"/>
      <c r="H15" s="15"/>
    </row>
    <row r="16" spans="2:8" ht="15.6" x14ac:dyDescent="0.3">
      <c r="B16" s="16" t="s">
        <v>99</v>
      </c>
      <c r="C16" s="17"/>
      <c r="D16" s="17"/>
      <c r="E16" s="17"/>
      <c r="F16" s="17"/>
      <c r="G16" s="17"/>
      <c r="H16" s="15"/>
    </row>
    <row r="17" spans="2:8" ht="15.6" x14ac:dyDescent="0.3">
      <c r="B17" s="16" t="s">
        <v>100</v>
      </c>
      <c r="C17" s="17"/>
      <c r="D17" s="17"/>
      <c r="E17" s="17"/>
      <c r="F17" s="17"/>
      <c r="G17" s="17"/>
      <c r="H17" s="15"/>
    </row>
    <row r="18" spans="2:8" ht="15.6" x14ac:dyDescent="0.3">
      <c r="B18" s="16" t="s">
        <v>101</v>
      </c>
      <c r="C18" s="17"/>
      <c r="D18" s="17"/>
      <c r="E18" s="17"/>
      <c r="F18" s="17"/>
      <c r="G18" s="17"/>
      <c r="H18" s="15"/>
    </row>
    <row r="19" spans="2:8" x14ac:dyDescent="0.3">
      <c r="B19" s="18"/>
      <c r="C19" s="14"/>
      <c r="D19" s="14"/>
      <c r="E19" s="14"/>
      <c r="F19" s="14"/>
      <c r="G19" s="14"/>
      <c r="H19" s="15"/>
    </row>
    <row r="20" spans="2:8" ht="15" thickBot="1" x14ac:dyDescent="0.35">
      <c r="B20" s="19"/>
      <c r="C20" s="20"/>
      <c r="D20" s="20"/>
      <c r="E20" s="20"/>
      <c r="F20" s="20"/>
      <c r="G20" s="20"/>
      <c r="H20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PT1-Total_Enrolment</vt:lpstr>
      <vt:lpstr>GENDER PARITY</vt:lpstr>
      <vt:lpstr>Sheet2</vt:lpstr>
      <vt:lpstr>pt2gender gap</vt:lpstr>
      <vt:lpstr>pt4 dropout funnel</vt:lpstr>
      <vt:lpstr>DASHBOARD</vt:lpstr>
      <vt:lpstr>Key Findings and 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</dc:creator>
  <cp:lastModifiedBy>SAURABH SHRIVASTAVA</cp:lastModifiedBy>
  <dcterms:created xsi:type="dcterms:W3CDTF">2026-05-30T08:57:12Z</dcterms:created>
  <dcterms:modified xsi:type="dcterms:W3CDTF">2026-06-21T08:06:39Z</dcterms:modified>
</cp:coreProperties>
</file>